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\SC\VBA-cuadroscomparativos\"/>
    </mc:Choice>
  </mc:AlternateContent>
  <xr:revisionPtr revIDLastSave="0" documentId="13_ncr:1_{F7970762-40AE-4BCD-8DCC-26F6244DC301}" xr6:coauthVersionLast="47" xr6:coauthVersionMax="47" xr10:uidLastSave="{00000000-0000-0000-0000-000000000000}"/>
  <bookViews>
    <workbookView xWindow="10950" yWindow="1005" windowWidth="21600" windowHeight="11295" tabRatio="914" xr2:uid="{00000000-000D-0000-FFFF-FFFF00000000}"/>
  </bookViews>
  <sheets>
    <sheet name="Tablero" sheetId="1" r:id="rId1"/>
    <sheet name="Apuntes" sheetId="216" r:id="rId2"/>
    <sheet name="mc" sheetId="49" state="hidden" r:id="rId3"/>
    <sheet name="mo" sheetId="124" state="hidden" r:id="rId4"/>
    <sheet name="mf" sheetId="182" state="hidden" r:id="rId5"/>
  </sheets>
  <functionGroups builtInGroupCount="19"/>
  <definedNames>
    <definedName name="_xlnm._FilterDatabase" localSheetId="1" hidden="1">Apuntes!#REF!</definedName>
    <definedName name="_xlnm._FilterDatabase" localSheetId="2" hidden="1">mc!#REF!</definedName>
    <definedName name="_xlnm._FilterDatabase" localSheetId="4" hidden="1">mf!#REF!</definedName>
    <definedName name="_Hlk103164086" localSheetId="1">Apuntes!#REF!</definedName>
    <definedName name="_Toc255981146" localSheetId="1">Apuntes!#REF!</definedName>
    <definedName name="_Toc255981157" localSheetId="1">Apuntes!#REF!</definedName>
    <definedName name="_Toc255981162" localSheetId="1">Apuntes!#REF!</definedName>
    <definedName name="anoProc">Tablero!$G$7</definedName>
    <definedName name="_xlnm.Print_Area" localSheetId="2">mc!$C$1:$I$44</definedName>
    <definedName name="cantProv">Tablero!$I$7</definedName>
    <definedName name="cantReng">Tablero!$H$7</definedName>
    <definedName name="CATEGORIAS">mc!$Q$2:$Q$31</definedName>
    <definedName name="catProc">Tablero!$B$7</definedName>
    <definedName name="modeloCond">mc!$B$37:$I$43</definedName>
    <definedName name="modeloCuadro">mc!$B$2:$I$19</definedName>
    <definedName name="modeloDesiertos">mc!$B$21:$I$35</definedName>
    <definedName name="modeloTOTALES">mc!$B$45:$I$53</definedName>
    <definedName name="numProc">Tablero!$F$7</definedName>
    <definedName name="objetoProc">Tablero!$D$7</definedName>
    <definedName name="ORGANISMOS">mc!$M$2:$M$25</definedName>
    <definedName name="orgProc">Tablero!$K$7</definedName>
    <definedName name="presupProc">Tablero!$J$7</definedName>
    <definedName name="tipoProc">Tablero!$E$7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24" l="1"/>
  <c r="I52" i="49" l="1"/>
  <c r="H9" i="4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Raúl Leopoldo Bini</author>
  </authors>
  <commentList>
    <comment ref="A4" authorId="0" shapeId="0" xr:uid="{00000000-0006-0000-0700-000001000000}">
      <text>
        <r>
          <rPr>
            <sz val="9"/>
            <color indexed="81"/>
            <rFont val="Tahoma"/>
            <family val="2"/>
          </rPr>
          <t xml:space="preserve">Es el numero correlativo del renglón
</t>
        </r>
      </text>
    </comment>
    <comment ref="B4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Renglòn Como aparece en el pliego
</t>
        </r>
      </text>
    </comment>
    <comment ref="C4" authorId="0" shapeId="0" xr:uid="{00000000-0006-0000-0700-000003000000}">
      <text>
        <r>
          <rPr>
            <sz val="9"/>
            <color indexed="81"/>
            <rFont val="Tahoma"/>
            <family val="2"/>
          </rPr>
          <t>Dejar vacio si no es Alternativa</t>
        </r>
      </text>
    </comment>
  </commentList>
</comments>
</file>

<file path=xl/sharedStrings.xml><?xml version="1.0" encoding="utf-8"?>
<sst xmlns="http://schemas.openxmlformats.org/spreadsheetml/2006/main" count="134" uniqueCount="120">
  <si>
    <t>N° Proveedor S/Acta</t>
  </si>
  <si>
    <t>N° renglon</t>
  </si>
  <si>
    <t>Detalle</t>
  </si>
  <si>
    <t>Nº Proc.:</t>
  </si>
  <si>
    <t>Tipo Proc.:</t>
  </si>
  <si>
    <t>Año Proc.:</t>
  </si>
  <si>
    <t>RENGLÓN</t>
  </si>
  <si>
    <t>DESCRIPCIÓN</t>
  </si>
  <si>
    <t>N°</t>
  </si>
  <si>
    <t>OFERENTE</t>
  </si>
  <si>
    <t>Cant. Of.</t>
  </si>
  <si>
    <t>P/ Unitario</t>
  </si>
  <si>
    <t>$ Total</t>
  </si>
  <si>
    <t>Observaciones</t>
  </si>
  <si>
    <t>Fecha:</t>
  </si>
  <si>
    <t xml:space="preserve">Esta comisión aconseja preadjudicar a: </t>
  </si>
  <si>
    <t xml:space="preserve">Por:   </t>
  </si>
  <si>
    <t>Firmas</t>
  </si>
  <si>
    <t>C.A. 125/22</t>
  </si>
  <si>
    <t>Proveedor</t>
  </si>
  <si>
    <t>Mant. Oferta</t>
  </si>
  <si>
    <t>Forma de Pago</t>
  </si>
  <si>
    <t>Forma de Entrega</t>
  </si>
  <si>
    <t>RENGLONES DESIERTOS</t>
  </si>
  <si>
    <t>CANT. SOLICITADA</t>
  </si>
  <si>
    <t>DETALLE NUMERO 1</t>
  </si>
  <si>
    <t>P°</t>
  </si>
  <si>
    <t>asda</t>
  </si>
  <si>
    <t>Proveedor uno</t>
  </si>
  <si>
    <t>CONDICIONES DE OFERTA</t>
  </si>
  <si>
    <t>Segùn Pliego</t>
  </si>
  <si>
    <t>Según Pliego</t>
  </si>
  <si>
    <t>Objeto:</t>
  </si>
  <si>
    <t>N° Orden</t>
  </si>
  <si>
    <t>Reng.</t>
  </si>
  <si>
    <t>Alt. N°</t>
  </si>
  <si>
    <t>Cantidad Ofrecida</t>
  </si>
  <si>
    <t>Precio Unitario</t>
  </si>
  <si>
    <t>Total Ofertado</t>
  </si>
  <si>
    <t>Observacion</t>
  </si>
  <si>
    <t>Cant. Pedida</t>
  </si>
  <si>
    <t>Mant. Oferta:</t>
  </si>
  <si>
    <t>Forma de Pago:</t>
  </si>
  <si>
    <t>Forma de Entrega:</t>
  </si>
  <si>
    <t>N° de Orden</t>
  </si>
  <si>
    <t>Proveedores</t>
  </si>
  <si>
    <t>Cant de Reng.:</t>
  </si>
  <si>
    <t>Cant de Ofer.:</t>
  </si>
  <si>
    <t>Renglones</t>
  </si>
  <si>
    <t>↓ Ingrese Nombre Proveedor S/Acta</t>
  </si>
  <si>
    <t>Detalle ↓ Ingrese la descripcion según pliego</t>
  </si>
  <si>
    <t>Adquisicion de Muebles para el SPP</t>
  </si>
  <si>
    <t xml:space="preserve">C.A. 125/22 </t>
  </si>
  <si>
    <t>O°</t>
  </si>
  <si>
    <t xml:space="preserve"> Cant. Solicitada S/Pliego</t>
  </si>
  <si>
    <t>1, 2, 3</t>
  </si>
  <si>
    <t>Mejores Ofertas</t>
  </si>
  <si>
    <r>
      <t xml:space="preserve">Renglones de </t>
    </r>
    <r>
      <rPr>
        <i/>
        <sz val="11"/>
        <color theme="1"/>
        <rFont val="Calibri"/>
        <family val="2"/>
        <scheme val="minor"/>
      </rPr>
      <t>Menor Precio</t>
    </r>
  </si>
  <si>
    <t xml:space="preserve">Total </t>
  </si>
  <si>
    <t>$ Total de las Mejores Ofertas</t>
  </si>
  <si>
    <t>Presupuesto estimado:</t>
  </si>
  <si>
    <t>Organismo:</t>
  </si>
  <si>
    <t>Categoria:</t>
  </si>
  <si>
    <t>ORGANISMOS</t>
  </si>
  <si>
    <t>CATEGORIAS</t>
  </si>
  <si>
    <t>AGRIC,GANADERIA,CAZA,SILVICULT</t>
  </si>
  <si>
    <t xml:space="preserve">ALIMENTOS </t>
  </si>
  <si>
    <t>ARTICULOS DEL HOGAR</t>
  </si>
  <si>
    <t xml:space="preserve">BANCOS Y SEGUROS </t>
  </si>
  <si>
    <t>BAZAR Y MENAJE</t>
  </si>
  <si>
    <t xml:space="preserve">CEREMONIAL </t>
  </si>
  <si>
    <t>CONSTRUCCION</t>
  </si>
  <si>
    <t>ELECTRICIDAD Y TELEFONIA</t>
  </si>
  <si>
    <t>ELEMENTOS DE LIMPIEZA</t>
  </si>
  <si>
    <t>EQUIPO DE OFICINA Y MUEBLES</t>
  </si>
  <si>
    <t>HERRAMIENTAS</t>
  </si>
  <si>
    <t>IMPRENTA Y EDITORIALES</t>
  </si>
  <si>
    <t>INDUMENT TEXTIL Y CONFECCIONES</t>
  </si>
  <si>
    <t>INFORMATICA</t>
  </si>
  <si>
    <t>LIBRERIA,PAP. Y UTILES OFICINA</t>
  </si>
  <si>
    <t>MANT. REPARACION Y LIMPIEZA</t>
  </si>
  <si>
    <t>PROD. MEDICO/FARMACEUTICOS/LAB</t>
  </si>
  <si>
    <t xml:space="preserve">PRODUCTOS VETERINARIOS </t>
  </si>
  <si>
    <t>SERV. PROFESIONAL Y COMERCIAL</t>
  </si>
  <si>
    <t>SERVICIOS BASICOS</t>
  </si>
  <si>
    <t>TRANSPORTE Y DEPOSITO</t>
  </si>
  <si>
    <t xml:space="preserve">VIDRIERIA </t>
  </si>
  <si>
    <t>VIGILANCIA Y SEGURIDAD</t>
  </si>
  <si>
    <t>EQUIPAMIENTO</t>
  </si>
  <si>
    <t>EQUIPAMIENTO MEDICO</t>
  </si>
  <si>
    <t xml:space="preserve">EQUIPAMIENTO MILITAR Y DE SEGURIDAD </t>
  </si>
  <si>
    <t>HERRAMIENTAS MEDICAS</t>
  </si>
  <si>
    <t>CAG</t>
  </si>
  <si>
    <t>CENCONV</t>
  </si>
  <si>
    <t>CRH</t>
  </si>
  <si>
    <t>CRyRP</t>
  </si>
  <si>
    <t>DGR</t>
  </si>
  <si>
    <t>HAO</t>
  </si>
  <si>
    <t>HPMI</t>
  </si>
  <si>
    <t>HSB</t>
  </si>
  <si>
    <t>IPSS</t>
  </si>
  <si>
    <t>MDS</t>
  </si>
  <si>
    <t>ME</t>
  </si>
  <si>
    <t>MECYT</t>
  </si>
  <si>
    <t>MGDDHHTJ</t>
  </si>
  <si>
    <t>MI</t>
  </si>
  <si>
    <t>MP</t>
  </si>
  <si>
    <t>MS</t>
  </si>
  <si>
    <t>MSP</t>
  </si>
  <si>
    <t>MTD</t>
  </si>
  <si>
    <t>SC</t>
  </si>
  <si>
    <t>SGG</t>
  </si>
  <si>
    <t>TCSE</t>
  </si>
  <si>
    <t>TELEFERICO</t>
  </si>
  <si>
    <t>TREN</t>
  </si>
  <si>
    <t>VEHICULOS</t>
  </si>
  <si>
    <t>ARTICULOS DE LIMPIEZA</t>
  </si>
  <si>
    <t>ID</t>
  </si>
  <si>
    <t>PROVEEDOR NOMBRE</t>
  </si>
  <si>
    <t>ALQUILER DE INMUEBLES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</si>
</sst>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"/>
    <numFmt numFmtId="165" formatCode="_ [$€-2]\ * #,##0.00_ ;_ [$€-2]\ * \-#,##0.00_ ;_ [$€-2]\ * &quot;-&quot;??_ "/>
  </numFmts>
  <fonts count="2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18"/>
      <color theme="1"/>
      <name val="Bahnschrift Light"/>
      <family val="2"/>
    </font>
    <font>
      <sz val="11"/>
      <color theme="1"/>
      <name val="Bahnschrift Light"/>
      <family val="2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"/>
      <name val="Calibri"/>
      <family val="2"/>
      <scheme val="minor"/>
    </font>
    <font>
      <sz val="11"/>
      <color theme="1" tint="0.499984740745262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E2EEE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D8DAD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theme="0" tint="-0.34998626667073579"/>
      </left>
      <right style="thin">
        <color indexed="64"/>
      </right>
      <top style="hair">
        <color auto="1"/>
      </top>
      <bottom/>
      <diagonal/>
    </border>
    <border>
      <left style="thin">
        <color theme="0" tint="-0.34998626667073579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theme="0" tint="-0.34998626667073579"/>
      </right>
      <top style="hair">
        <color auto="1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thin">
        <color theme="0" tint="-0.34998626667073579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theme="0" tint="-0.34998626667073579"/>
      </right>
      <top style="hair">
        <color auto="1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hair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hair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hair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hair">
        <color theme="0" tint="-0.499984740745262"/>
      </bottom>
      <diagonal/>
    </border>
    <border>
      <left style="thin">
        <color theme="0" tint="-0.24994659260841701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hair">
        <color theme="0" tint="-0.499984740745262"/>
      </top>
      <bottom style="thin">
        <color indexed="64"/>
      </bottom>
      <diagonal/>
    </border>
    <border>
      <left/>
      <right/>
      <top style="hair">
        <color theme="0" tint="-0.499984740745262"/>
      </top>
      <bottom style="thin">
        <color indexed="64"/>
      </bottom>
      <diagonal/>
    </border>
    <border>
      <left/>
      <right style="thin">
        <color theme="0" tint="-0.24994659260841701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499984740745262"/>
      </top>
      <bottom style="thin">
        <color indexed="64"/>
      </bottom>
      <diagonal/>
    </border>
    <border>
      <left/>
      <right style="thin">
        <color theme="0" tint="-0.34998626667073579"/>
      </right>
      <top style="hair">
        <color theme="0" tint="-0.499984740745262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theme="1" tint="0.34998626667073579"/>
      </right>
      <top style="thin">
        <color theme="0" tint="-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34998626667073579"/>
      </top>
      <bottom/>
      <diagonal/>
    </border>
    <border>
      <left style="medium">
        <color theme="1" tint="0.34998626667073579"/>
      </left>
      <right/>
      <top style="thin">
        <color theme="0" tint="-0.34998626667073579"/>
      </top>
      <bottom/>
      <diagonal/>
    </border>
    <border>
      <left style="thin">
        <color theme="0" tint="-0.19998779259620961"/>
      </left>
      <right style="thin">
        <color theme="0" tint="-0.1999877925962096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999877925962096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19998779259620961"/>
      </right>
      <top/>
      <bottom style="thin">
        <color theme="0" tint="-0.249977111117893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indexed="64"/>
      </top>
      <bottom style="thin">
        <color theme="8" tint="0.39994506668294322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theme="2" tint="-0.249977111117893"/>
      </bottom>
      <diagonal/>
    </border>
    <border>
      <left/>
      <right/>
      <top/>
      <bottom style="dashed">
        <color theme="2" tint="-0.249977111117893"/>
      </bottom>
      <diagonal/>
    </border>
    <border>
      <left/>
      <right style="thin">
        <color theme="0" tint="-0.34998626667073579"/>
      </right>
      <top style="hair">
        <color auto="1"/>
      </top>
      <bottom/>
      <diagonal/>
    </border>
    <border>
      <left/>
      <right style="thin">
        <color theme="0" tint="-0.34998626667073579"/>
      </right>
      <top style="thin">
        <color indexed="64"/>
      </top>
      <bottom style="hair">
        <color theme="0" tint="-0.34998626667073579"/>
      </bottom>
      <diagonal/>
    </border>
    <border>
      <left/>
      <right style="thin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auto="1"/>
      </right>
      <top style="hair">
        <color auto="1"/>
      </top>
      <bottom style="hair">
        <color theme="0" tint="-0.34998626667073579"/>
      </bottom>
      <diagonal/>
    </border>
    <border>
      <left style="thin">
        <color theme="0" tint="-0.34998626667073579"/>
      </left>
      <right/>
      <top style="hair">
        <color theme="0" tint="-0.34998626667073579"/>
      </top>
      <bottom style="thin">
        <color indexed="64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1454817346722"/>
      </top>
      <bottom style="thin">
        <color theme="8" tint="0.39991454817346722"/>
      </bottom>
      <diagonal/>
    </border>
    <border>
      <left style="thin">
        <color theme="8" tint="0.39994506668294322"/>
      </left>
      <right/>
      <top style="thin">
        <color indexed="64"/>
      </top>
      <bottom style="thin">
        <color theme="8" tint="0.39994506668294322"/>
      </bottom>
      <diagonal/>
    </border>
    <border>
      <left/>
      <right style="thin">
        <color theme="8" tint="0.39994506668294322"/>
      </right>
      <top style="thin">
        <color indexed="64"/>
      </top>
      <bottom style="thin">
        <color theme="8" tint="0.3999450666829432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0">
    <xf numFmtId="0" fontId="0" fillId="0" borderId="0"/>
    <xf numFmtId="0" fontId="24" fillId="0" borderId="0"/>
    <xf numFmtId="0" fontId="25" fillId="0" borderId="0"/>
    <xf numFmtId="165" fontId="25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165" fontId="25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3" fontId="0" fillId="0" borderId="0" xfId="0" applyNumberFormat="1"/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Continuous" vertical="center"/>
    </xf>
    <xf numFmtId="3" fontId="0" fillId="0" borderId="4" xfId="0" applyNumberFormat="1" applyBorder="1" applyAlignment="1">
      <alignment horizontal="center" vertical="center"/>
    </xf>
    <xf numFmtId="0" fontId="0" fillId="0" borderId="6" xfId="0" applyBorder="1" applyAlignment="1">
      <alignment horizontal="centerContinuous" vertical="center"/>
    </xf>
    <xf numFmtId="0" fontId="0" fillId="0" borderId="7" xfId="0" applyBorder="1" applyAlignment="1">
      <alignment horizontal="centerContinuous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Continuous"/>
    </xf>
    <xf numFmtId="0" fontId="2" fillId="0" borderId="0" xfId="0" applyFont="1"/>
    <xf numFmtId="0" fontId="0" fillId="2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Continuous" vertical="center"/>
    </xf>
    <xf numFmtId="0" fontId="0" fillId="2" borderId="9" xfId="0" applyFill="1" applyBorder="1" applyAlignment="1">
      <alignment horizontal="centerContinuous" vertical="center"/>
    </xf>
    <xf numFmtId="0" fontId="0" fillId="2" borderId="10" xfId="0" applyFill="1" applyBorder="1" applyAlignment="1">
      <alignment horizontal="centerContinuous" vertical="center"/>
    </xf>
    <xf numFmtId="0" fontId="3" fillId="0" borderId="5" xfId="0" applyFont="1" applyBorder="1" applyAlignment="1">
      <alignment horizontal="centerContinuous" vertical="center" wrapText="1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Continuous" vertical="center"/>
    </xf>
    <xf numFmtId="0" fontId="0" fillId="2" borderId="18" xfId="0" applyFill="1" applyBorder="1" applyAlignment="1">
      <alignment horizontal="centerContinuous"/>
    </xf>
    <xf numFmtId="0" fontId="0" fillId="2" borderId="18" xfId="0" applyFill="1" applyBorder="1" applyAlignment="1">
      <alignment horizontal="centerContinuous" vertical="center"/>
    </xf>
    <xf numFmtId="0" fontId="0" fillId="2" borderId="19" xfId="0" applyFill="1" applyBorder="1" applyAlignment="1">
      <alignment horizontal="center" vertical="center"/>
    </xf>
    <xf numFmtId="3" fontId="6" fillId="3" borderId="20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Continuous" vertical="center"/>
    </xf>
    <xf numFmtId="0" fontId="6" fillId="3" borderId="23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 wrapText="1"/>
    </xf>
    <xf numFmtId="0" fontId="6" fillId="3" borderId="22" xfId="0" applyFont="1" applyFill="1" applyBorder="1" applyAlignment="1">
      <alignment horizontal="centerContinuous" vertical="center" wrapText="1"/>
    </xf>
    <xf numFmtId="0" fontId="6" fillId="3" borderId="23" xfId="0" applyFont="1" applyFill="1" applyBorder="1" applyAlignment="1">
      <alignment horizontal="centerContinuous" vertical="center" wrapText="1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25" xfId="0" applyBorder="1" applyAlignment="1">
      <alignment horizontal="centerContinuous" vertical="center"/>
    </xf>
    <xf numFmtId="0" fontId="0" fillId="0" borderId="24" xfId="0" applyBorder="1" applyAlignment="1">
      <alignment horizontal="centerContinuous" vertical="center"/>
    </xf>
    <xf numFmtId="0" fontId="0" fillId="0" borderId="15" xfId="0" applyBorder="1" applyAlignment="1">
      <alignment horizontal="left" vertical="center" indent="1"/>
    </xf>
    <xf numFmtId="0" fontId="0" fillId="4" borderId="0" xfId="0" applyFill="1"/>
    <xf numFmtId="0" fontId="0" fillId="4" borderId="0" xfId="0" applyFill="1" applyAlignment="1">
      <alignment vertical="center"/>
    </xf>
    <xf numFmtId="0" fontId="2" fillId="4" borderId="0" xfId="0" applyFont="1" applyFill="1"/>
    <xf numFmtId="0" fontId="0" fillId="5" borderId="0" xfId="0" applyFill="1"/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0" fontId="0" fillId="0" borderId="0" xfId="0" applyAlignment="1">
      <alignment horizontal="centerContinuous"/>
    </xf>
    <xf numFmtId="0" fontId="11" fillId="6" borderId="27" xfId="0" applyFont="1" applyFill="1" applyBorder="1" applyAlignment="1">
      <alignment horizontal="center" vertical="center" wrapText="1"/>
    </xf>
    <xf numFmtId="0" fontId="11" fillId="6" borderId="28" xfId="0" applyFont="1" applyFill="1" applyBorder="1" applyAlignment="1">
      <alignment horizontal="center" vertical="center" wrapText="1"/>
    </xf>
    <xf numFmtId="164" fontId="11" fillId="6" borderId="28" xfId="0" applyNumberFormat="1" applyFont="1" applyFill="1" applyBorder="1" applyAlignment="1">
      <alignment horizontal="center" vertical="center" wrapText="1"/>
    </xf>
    <xf numFmtId="0" fontId="11" fillId="6" borderId="29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13" fillId="0" borderId="0" xfId="0" applyFont="1" applyAlignment="1">
      <alignment horizontal="centerContinuous"/>
    </xf>
    <xf numFmtId="0" fontId="8" fillId="8" borderId="33" xfId="0" applyFont="1" applyFill="1" applyBorder="1" applyAlignment="1">
      <alignment horizontal="center" vertical="center"/>
    </xf>
    <xf numFmtId="0" fontId="8" fillId="8" borderId="33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44" fontId="18" fillId="9" borderId="30" xfId="0" applyNumberFormat="1" applyFont="1" applyFill="1" applyBorder="1" applyAlignment="1">
      <alignment vertical="center"/>
    </xf>
    <xf numFmtId="0" fontId="19" fillId="10" borderId="32" xfId="0" applyFont="1" applyFill="1" applyBorder="1" applyAlignment="1">
      <alignment horizontal="center" vertical="center"/>
    </xf>
    <xf numFmtId="0" fontId="0" fillId="4" borderId="35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4" fillId="0" borderId="0" xfId="0" applyFont="1" applyAlignment="1">
      <alignment horizontal="left" indent="1"/>
    </xf>
    <xf numFmtId="0" fontId="0" fillId="4" borderId="1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3" fontId="14" fillId="7" borderId="30" xfId="0" applyNumberFormat="1" applyFont="1" applyFill="1" applyBorder="1" applyAlignment="1" applyProtection="1">
      <alignment horizontal="center" vertical="center"/>
      <protection locked="0" hidden="1"/>
    </xf>
    <xf numFmtId="164" fontId="14" fillId="7" borderId="30" xfId="0" applyNumberFormat="1" applyFont="1" applyFill="1" applyBorder="1" applyAlignment="1" applyProtection="1">
      <alignment horizontal="center" vertical="center"/>
      <protection locked="0" hidden="1"/>
    </xf>
    <xf numFmtId="0" fontId="0" fillId="7" borderId="30" xfId="0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indent="1"/>
    </xf>
    <xf numFmtId="3" fontId="0" fillId="0" borderId="0" xfId="0" applyNumberFormat="1" applyAlignment="1">
      <alignment horizontal="center" vertical="center"/>
    </xf>
    <xf numFmtId="8" fontId="0" fillId="0" borderId="0" xfId="0" applyNumberFormat="1" applyAlignment="1">
      <alignment vertical="center"/>
    </xf>
    <xf numFmtId="0" fontId="0" fillId="0" borderId="30" xfId="0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3" fontId="18" fillId="3" borderId="26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right"/>
    </xf>
    <xf numFmtId="0" fontId="2" fillId="0" borderId="40" xfId="0" applyFont="1" applyBorder="1"/>
    <xf numFmtId="0" fontId="2" fillId="0" borderId="41" xfId="0" applyFont="1" applyBorder="1"/>
    <xf numFmtId="0" fontId="4" fillId="0" borderId="42" xfId="0" applyFont="1" applyBorder="1" applyAlignment="1">
      <alignment horizontal="center" vertical="center"/>
    </xf>
    <xf numFmtId="0" fontId="0" fillId="2" borderId="3" xfId="0" applyFill="1" applyBorder="1" applyAlignment="1">
      <alignment horizontal="centerContinuous" vertical="center"/>
    </xf>
    <xf numFmtId="0" fontId="0" fillId="2" borderId="43" xfId="0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0" fillId="2" borderId="12" xfId="0" applyFill="1" applyBorder="1" applyAlignment="1">
      <alignment horizontal="centerContinuous" vertical="center" wrapText="1"/>
    </xf>
    <xf numFmtId="44" fontId="14" fillId="0" borderId="16" xfId="0" applyNumberFormat="1" applyFont="1" applyBorder="1" applyAlignment="1">
      <alignment horizontal="center" vertical="center" wrapText="1"/>
    </xf>
    <xf numFmtId="0" fontId="0" fillId="0" borderId="46" xfId="0" applyBorder="1" applyAlignment="1">
      <alignment horizontal="centerContinuous" vertical="center" wrapText="1"/>
    </xf>
    <xf numFmtId="0" fontId="6" fillId="0" borderId="22" xfId="0" applyFont="1" applyBorder="1" applyAlignment="1">
      <alignment horizontal="centerContinuous" vertical="center" wrapText="1"/>
    </xf>
    <xf numFmtId="0" fontId="6" fillId="0" borderId="23" xfId="0" applyFont="1" applyBorder="1" applyAlignment="1">
      <alignment horizontal="centerContinuous" vertical="center" wrapText="1"/>
    </xf>
    <xf numFmtId="0" fontId="0" fillId="11" borderId="0" xfId="0" applyFill="1"/>
    <xf numFmtId="8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vertical="center"/>
    </xf>
    <xf numFmtId="0" fontId="22" fillId="0" borderId="1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3" fillId="0" borderId="44" xfId="0" applyFont="1" applyBorder="1" applyAlignment="1">
      <alignment horizontal="left" vertical="center" indent="1"/>
    </xf>
    <xf numFmtId="3" fontId="23" fillId="0" borderId="15" xfId="0" applyNumberFormat="1" applyFont="1" applyBorder="1" applyAlignment="1">
      <alignment horizontal="center" vertical="center"/>
    </xf>
    <xf numFmtId="8" fontId="23" fillId="0" borderId="15" xfId="0" applyNumberFormat="1" applyFont="1" applyBorder="1" applyAlignment="1">
      <alignment vertical="center"/>
    </xf>
    <xf numFmtId="0" fontId="23" fillId="0" borderId="16" xfId="0" applyFon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8" fillId="8" borderId="33" xfId="0" applyFont="1" applyFill="1" applyBorder="1" applyAlignment="1">
      <alignment horizontal="centerContinuous" vertical="center"/>
    </xf>
    <xf numFmtId="0" fontId="14" fillId="0" borderId="0" xfId="0" applyFont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0" fillId="0" borderId="48" xfId="0" applyBorder="1" applyAlignment="1">
      <alignment horizontal="centerContinuous" vertical="center"/>
    </xf>
    <xf numFmtId="0" fontId="0" fillId="0" borderId="49" xfId="0" applyBorder="1" applyAlignment="1">
      <alignment horizontal="centerContinuous" vertical="center"/>
    </xf>
    <xf numFmtId="0" fontId="2" fillId="0" borderId="0" xfId="0" applyFont="1" applyAlignment="1">
      <alignment horizontal="left"/>
    </xf>
    <xf numFmtId="164" fontId="21" fillId="0" borderId="0" xfId="0" applyNumberFormat="1" applyFont="1" applyAlignment="1">
      <alignment vertical="center" wrapText="1"/>
    </xf>
    <xf numFmtId="0" fontId="26" fillId="0" borderId="0" xfId="0" applyFont="1" applyAlignment="1">
      <alignment horizontal="left"/>
    </xf>
    <xf numFmtId="3" fontId="27" fillId="3" borderId="5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</cellXfs>
  <cellStyles count="30">
    <cellStyle name="Euro" xfId="3" xr:uid="{DF0F6D06-2948-4F73-80C6-547224C97287}"/>
    <cellStyle name="Euro 2" xfId="19" xr:uid="{70EA6B27-E0DC-4873-9F6C-D26E04AD5644}"/>
    <cellStyle name="Normal" xfId="0" builtinId="0"/>
    <cellStyle name="Normal 10" xfId="15" xr:uid="{89B1B9DF-3AD8-4CD0-9118-262BC86A8E95}"/>
    <cellStyle name="Normal 11" xfId="2" xr:uid="{36C38D26-D3DE-42E4-BD18-1AFCF7BEC5BA}"/>
    <cellStyle name="Normal 2" xfId="1" xr:uid="{D7AABB87-C878-4A28-8C2B-84CEC217C647}"/>
    <cellStyle name="Normal 2 2" xfId="7" xr:uid="{51F80A79-A3F1-4329-BCFC-15D532488B4F}"/>
    <cellStyle name="Normal 2 2 2" xfId="21" xr:uid="{F6AEE418-EF4E-4C4B-A4B9-82FF17FE36DC}"/>
    <cellStyle name="Normal 2 3" xfId="10" xr:uid="{05686E0C-D878-4D15-94C4-BE3D922F3F68}"/>
    <cellStyle name="Normal 2 3 2" xfId="24" xr:uid="{7EDD9C76-4331-4E0C-9340-83391DB1E526}"/>
    <cellStyle name="Normal 2 4" xfId="13" xr:uid="{E157BFDD-35CB-4AAB-9D11-CC68F3B34D5C}"/>
    <cellStyle name="Normal 2 4 2" xfId="27" xr:uid="{CD14CB4F-19CD-47D4-A334-715569C0B104}"/>
    <cellStyle name="Normal 2 5" xfId="16" xr:uid="{D5722CFB-3CCC-4B1D-9ACB-EBACA9BDE892}"/>
    <cellStyle name="Normal 3" xfId="4" xr:uid="{E236EFB5-05A7-4F8B-95C7-F23D54178274}"/>
    <cellStyle name="Normal 3 2" xfId="8" xr:uid="{40743E26-C716-4A7C-B672-00BD9FF2329D}"/>
    <cellStyle name="Normal 3 2 2" xfId="22" xr:uid="{94911962-367F-4C34-8748-25870473316C}"/>
    <cellStyle name="Normal 3 3" xfId="11" xr:uid="{6B081E15-2E51-4111-B0EE-CCCED0C2907C}"/>
    <cellStyle name="Normal 3 3 2" xfId="25" xr:uid="{1A0EF09B-2F36-4BF9-B68F-D3A6EEBAC019}"/>
    <cellStyle name="Normal 3 4" xfId="14" xr:uid="{6FE110E2-52BA-47D1-B804-8F45E29E7F19}"/>
    <cellStyle name="Normal 3 4 2" xfId="28" xr:uid="{33F302FB-0D7C-432B-9C74-AE640D2F3540}"/>
    <cellStyle name="Normal 3 5" xfId="17" xr:uid="{067C4D18-E3D7-4778-94BF-F4CB8CB90894}"/>
    <cellStyle name="Normal 4" xfId="6" xr:uid="{B101061B-CBE4-464C-8045-6FDADAC98820}"/>
    <cellStyle name="Normal 5" xfId="5" xr:uid="{8A73ACBB-E44F-4A84-B54F-ECC901F4AF6E}"/>
    <cellStyle name="Normal 5 2" xfId="20" xr:uid="{FF01B225-5134-4B7A-A3D9-4F43C24ECA1C}"/>
    <cellStyle name="Normal 6" xfId="9" xr:uid="{25402724-87C8-41AA-BF11-019EF569F2F1}"/>
    <cellStyle name="Normal 6 2" xfId="23" xr:uid="{3F2DAA2E-2396-4F8F-AF50-82194D986E90}"/>
    <cellStyle name="Normal 7" xfId="12" xr:uid="{7DA1D219-D808-436C-B728-DD33B93CE065}"/>
    <cellStyle name="Normal 7 2" xfId="26" xr:uid="{9FF4B139-128F-422E-802F-49B46E32DDA5}"/>
    <cellStyle name="Normal 8" xfId="18" xr:uid="{94966A9F-4F99-4B44-B73D-B015344F127C}"/>
    <cellStyle name="Normal 9" xfId="29" xr:uid="{51185238-F0E1-4603-BC62-B4501F333ADD}"/>
  </cellStyles>
  <dxfs count="22">
    <dxf>
      <font>
        <b/>
        <i val="0"/>
        <color theme="0"/>
      </font>
      <fill>
        <patternFill>
          <bgColor rgb="FF348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 tint="0.499984740745262"/>
      </font>
      <fill>
        <patternFill>
          <bgColor rgb="FFFFF0F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 val="0"/>
        <color theme="0" tint="-0.499984740745262"/>
      </font>
      <numFmt numFmtId="15" formatCode="0.00E+00"/>
      <fill>
        <patternFill>
          <bgColor rgb="FFFFEFEF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FFD3E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i/>
      </font>
      <alignment horizontal="centerContinuous" vertical="center" textRotation="0" wrapText="1" indent="0" justifyLastLine="0" shrinkToFit="0" readingOrder="0"/>
      <border diagonalUp="0" diagonalDown="0">
        <left style="thin">
          <color theme="0" tint="-0.34998626667073579"/>
        </left>
        <right/>
        <top style="hair">
          <color auto="1"/>
        </top>
        <bottom style="thin">
          <color indexed="64"/>
        </bottom>
        <vertical/>
        <horizontal/>
      </border>
    </dxf>
    <dxf>
      <font>
        <i/>
      </font>
      <alignment horizontal="centerContinuous" vertical="center" textRotation="0" wrapText="1" indent="0" justifyLastLine="0" shrinkToFit="0" readingOrder="0"/>
      <border diagonalUp="0" diagonalDown="0">
        <left style="thin">
          <color theme="0" tint="-0.34998626667073579"/>
        </left>
        <right/>
        <top style="hair">
          <color auto="1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3" formatCode="#,##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0" hidden="0"/>
    </dxf>
    <dxf>
      <protection locked="0" hidden="0"/>
    </dxf>
    <dxf>
      <alignment horizontal="center" vertical="center" textRotation="0" wrapText="1" indent="0" justifyLastLine="0" shrinkToFit="0" readingOrder="0"/>
    </dxf>
    <dxf>
      <font>
        <color theme="1" tint="0.499984740745262"/>
      </font>
      <numFmt numFmtId="3" formatCode="#,##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0000"/>
      <color rgb="FFFFD3E1"/>
      <color rgb="FFFFDAD1"/>
      <color rgb="FF348434"/>
      <color rgb="FFFFF0F0"/>
      <color rgb="FFFFDCDC"/>
      <color rgb="FFFFEBEB"/>
      <color rgb="FFFFEFEF"/>
      <color rgb="FFD8DAD8"/>
      <color rgb="FFD1D9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2085935</xdr:colOff>
      <xdr:row>1</xdr:row>
      <xdr:rowOff>116975</xdr:rowOff>
    </xdr:from>
    <xdr:to>
      <xdr:col>9</xdr:col>
      <xdr:colOff>2649896</xdr:colOff>
      <xdr:row>2</xdr:row>
      <xdr:rowOff>288506</xdr:rowOff>
    </xdr:to>
    <xdr:pic macro="[0]!reDo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66795" y="116975"/>
          <a:ext cx="567771" cy="567771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3</xdr:col>
      <xdr:colOff>845820</xdr:colOff>
      <xdr:row>1</xdr:row>
      <xdr:rowOff>0</xdr:rowOff>
    </xdr:from>
    <xdr:to>
      <xdr:col>3</xdr:col>
      <xdr:colOff>1767840</xdr:colOff>
      <xdr:row>3</xdr:row>
      <xdr:rowOff>133350</xdr:rowOff>
    </xdr:to>
    <xdr:pic macro="[0]!datosDelProc">
      <xdr:nvPicPr>
        <xdr:cNvPr id="11" name="Gráfico 10" descr="Insertar datos de la Contratación&#10;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47900" y="0"/>
          <a:ext cx="914400" cy="9144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3</xdr:col>
      <xdr:colOff>2263140</xdr:colOff>
      <xdr:row>1</xdr:row>
      <xdr:rowOff>0</xdr:rowOff>
    </xdr:from>
    <xdr:to>
      <xdr:col>5</xdr:col>
      <xdr:colOff>95250</xdr:colOff>
      <xdr:row>3</xdr:row>
      <xdr:rowOff>133350</xdr:rowOff>
    </xdr:to>
    <xdr:pic macro="[0]!insertarHojasDeOfertas">
      <xdr:nvPicPr>
        <xdr:cNvPr id="13" name="Gráfico 12" descr="Insignia con relleno sólid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65220" y="0"/>
          <a:ext cx="914400" cy="9144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6</xdr:col>
      <xdr:colOff>167640</xdr:colOff>
      <xdr:row>1</xdr:row>
      <xdr:rowOff>0</xdr:rowOff>
    </xdr:from>
    <xdr:to>
      <xdr:col>7</xdr:col>
      <xdr:colOff>476250</xdr:colOff>
      <xdr:row>3</xdr:row>
      <xdr:rowOff>133350</xdr:rowOff>
    </xdr:to>
    <xdr:pic macro="[0]!hacerElFuckingCuadro">
      <xdr:nvPicPr>
        <xdr:cNvPr id="15" name="Gráfico 14" descr="Insignia 3 con relleno sólid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151120" y="0"/>
          <a:ext cx="914400" cy="9144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5</xdr:col>
      <xdr:colOff>191805</xdr:colOff>
      <xdr:row>1</xdr:row>
      <xdr:rowOff>261690</xdr:rowOff>
    </xdr:from>
    <xdr:to>
      <xdr:col>6</xdr:col>
      <xdr:colOff>135150</xdr:colOff>
      <xdr:row>2</xdr:row>
      <xdr:rowOff>321240</xdr:rowOff>
    </xdr:to>
    <xdr:pic>
      <xdr:nvPicPr>
        <xdr:cNvPr id="19" name="Gráfico 18" descr="Flechas de cheurón con relleno sólid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72365" y="261690"/>
          <a:ext cx="436740" cy="436740"/>
        </a:xfrm>
        <a:prstGeom prst="rect">
          <a:avLst/>
        </a:prstGeom>
      </xdr:spPr>
    </xdr:pic>
    <xdr:clientData/>
  </xdr:twoCellAnchor>
  <xdr:oneCellAnchor>
    <xdr:from>
      <xdr:col>3</xdr:col>
      <xdr:colOff>769620</xdr:colOff>
      <xdr:row>3</xdr:row>
      <xdr:rowOff>72455</xdr:rowOff>
    </xdr:from>
    <xdr:ext cx="1066800" cy="40536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171700" y="849695"/>
          <a:ext cx="1066800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000"/>
            <a:t>Datos del procedimiento</a:t>
          </a:r>
        </a:p>
      </xdr:txBody>
    </xdr:sp>
    <xdr:clientData/>
  </xdr:oneCellAnchor>
  <xdr:oneCellAnchor>
    <xdr:from>
      <xdr:col>3</xdr:col>
      <xdr:colOff>2186940</xdr:colOff>
      <xdr:row>3</xdr:row>
      <xdr:rowOff>72455</xdr:rowOff>
    </xdr:from>
    <xdr:ext cx="1066800" cy="40536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3589020" y="849695"/>
          <a:ext cx="1066800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000"/>
            <a:t>Insertar Hojas de Oferta</a:t>
          </a:r>
        </a:p>
      </xdr:txBody>
    </xdr:sp>
    <xdr:clientData/>
  </xdr:oneCellAnchor>
  <xdr:oneCellAnchor>
    <xdr:from>
      <xdr:col>6</xdr:col>
      <xdr:colOff>91440</xdr:colOff>
      <xdr:row>3</xdr:row>
      <xdr:rowOff>89316</xdr:rowOff>
    </xdr:from>
    <xdr:ext cx="1066800" cy="46807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5074920" y="866556"/>
          <a:ext cx="10668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200" b="1"/>
            <a:t>Hacer</a:t>
          </a:r>
          <a:r>
            <a:rPr lang="en-US" sz="1200"/>
            <a:t> </a:t>
          </a:r>
        </a:p>
        <a:p>
          <a:pPr algn="ctr"/>
          <a:r>
            <a:rPr lang="en-US" sz="1200" b="1"/>
            <a:t>Cuadro</a:t>
          </a:r>
        </a:p>
      </xdr:txBody>
    </xdr:sp>
    <xdr:clientData/>
  </xdr:oneCellAnchor>
  <xdr:oneCellAnchor>
    <xdr:from>
      <xdr:col>9</xdr:col>
      <xdr:colOff>1836420</xdr:colOff>
      <xdr:row>2</xdr:row>
      <xdr:rowOff>259713</xdr:rowOff>
    </xdr:from>
    <xdr:ext cx="1066800" cy="5937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8717280" y="648333"/>
          <a:ext cx="1066800" cy="5937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000" b="1">
              <a:solidFill>
                <a:srgbClr val="C00000"/>
              </a:solidFill>
            </a:rPr>
            <a:t>Hacer</a:t>
          </a:r>
          <a:r>
            <a:rPr lang="en-US" sz="1000" b="1" baseline="0">
              <a:solidFill>
                <a:srgbClr val="C00000"/>
              </a:solidFill>
            </a:rPr>
            <a:t> Cuadro Nuevo</a:t>
          </a:r>
        </a:p>
        <a:p>
          <a:pPr algn="ctr"/>
          <a:r>
            <a:rPr lang="en-US" sz="800" b="1" baseline="0">
              <a:solidFill>
                <a:srgbClr val="C00000"/>
              </a:solidFill>
            </a:rPr>
            <a:t>Reiniciar </a:t>
          </a:r>
          <a:endParaRPr lang="en-US" sz="800" b="1">
            <a:solidFill>
              <a:srgbClr val="C00000"/>
            </a:solidFill>
          </a:endParaRPr>
        </a:p>
      </xdr:txBody>
    </xdr:sp>
    <xdr:clientData/>
  </xdr:oneCellAnchor>
  <xdr:twoCellAnchor editAs="oneCell">
    <xdr:from>
      <xdr:col>6</xdr:col>
      <xdr:colOff>426088</xdr:colOff>
      <xdr:row>2</xdr:row>
      <xdr:rowOff>103379</xdr:rowOff>
    </xdr:from>
    <xdr:to>
      <xdr:col>7</xdr:col>
      <xdr:colOff>284905</xdr:colOff>
      <xdr:row>3</xdr:row>
      <xdr:rowOff>186986</xdr:rowOff>
    </xdr:to>
    <xdr:pic>
      <xdr:nvPicPr>
        <xdr:cNvPr id="30" name="Gráfico 29" descr="Gesto de doble toque contorno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9481126">
          <a:off x="5409568" y="491999"/>
          <a:ext cx="472227" cy="472227"/>
        </a:xfrm>
        <a:prstGeom prst="rect">
          <a:avLst/>
        </a:prstGeom>
      </xdr:spPr>
    </xdr:pic>
    <xdr:clientData/>
  </xdr:twoCellAnchor>
  <xdr:twoCellAnchor editAs="oneCell">
    <xdr:from>
      <xdr:col>3</xdr:col>
      <xdr:colOff>1792005</xdr:colOff>
      <xdr:row>1</xdr:row>
      <xdr:rowOff>261690</xdr:rowOff>
    </xdr:from>
    <xdr:to>
      <xdr:col>3</xdr:col>
      <xdr:colOff>2232555</xdr:colOff>
      <xdr:row>2</xdr:row>
      <xdr:rowOff>321240</xdr:rowOff>
    </xdr:to>
    <xdr:pic>
      <xdr:nvPicPr>
        <xdr:cNvPr id="16" name="Gráfico 15" descr="Flechas de cheurón con relleno sólid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194085" y="261690"/>
          <a:ext cx="436740" cy="4367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224790</xdr:colOff>
      <xdr:row>0</xdr:row>
      <xdr:rowOff>87630</xdr:rowOff>
    </xdr:from>
    <xdr:to>
      <xdr:col>6</xdr:col>
      <xdr:colOff>643890</xdr:colOff>
      <xdr:row>2</xdr:row>
      <xdr:rowOff>110490</xdr:rowOff>
    </xdr:to>
    <xdr:pic macro="[0]!inputAlt">
      <xdr:nvPicPr>
        <xdr:cNvPr id="3" name="Gráfico 2" descr="Insignia de seguir con relleno sólid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72050" y="87630"/>
          <a:ext cx="419100" cy="419100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  <xdr:twoCellAnchor>
    <xdr:from>
      <xdr:col>6</xdr:col>
      <xdr:colOff>533400</xdr:colOff>
      <xdr:row>0</xdr:row>
      <xdr:rowOff>144780</xdr:rowOff>
    </xdr:from>
    <xdr:to>
      <xdr:col>6</xdr:col>
      <xdr:colOff>1013460</xdr:colOff>
      <xdr:row>2</xdr:row>
      <xdr:rowOff>7620</xdr:rowOff>
    </xdr:to>
    <xdr:sp macro="[0]!inputAlt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280660" y="144780"/>
          <a:ext cx="480060" cy="25908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/>
          </a:outerShdw>
        </a:effectLst>
        <a:scene3d>
          <a:camera prst="orthographicFront"/>
          <a:lightRig rig="threePt" dir="t"/>
        </a:scene3d>
        <a:sp3d extrusionH="44450">
          <a:bevelT w="0" h="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6">
                  <a:lumMod val="50000"/>
                </a:schemeClr>
              </a:solidFill>
            </a:rPr>
            <a:t>Alt</a:t>
          </a:r>
          <a:r>
            <a:rPr lang="en-US" sz="1400" b="1">
              <a:solidFill>
                <a:schemeClr val="accent6">
                  <a:lumMod val="50000"/>
                </a:schemeClr>
              </a:solidFill>
            </a:rPr>
            <a:t>.</a:t>
          </a:r>
        </a:p>
      </xdr:txBody>
    </xdr:sp>
    <xdr:clientData/>
  </xdr:twoCellAnchor>
  <xdr:twoCellAnchor editAs="oneCell">
    <xdr:from>
      <xdr:col>8</xdr:col>
      <xdr:colOff>2371449</xdr:colOff>
      <xdr:row>0</xdr:row>
      <xdr:rowOff>0</xdr:rowOff>
    </xdr:from>
    <xdr:to>
      <xdr:col>9</xdr:col>
      <xdr:colOff>314325</xdr:colOff>
      <xdr:row>3</xdr:row>
      <xdr:rowOff>476250</xdr:rowOff>
    </xdr:to>
    <xdr:pic macro="[0]!segunPliego">
      <xdr:nvPicPr>
        <xdr:cNvPr id="7" name="Imagen 6" descr="Colegiala señalando">
          <a:extLst>
            <a:ext uri="{FF2B5EF4-FFF2-40B4-BE49-F238E27FC236}">
              <a16:creationId xmlns:a16="http://schemas.microsoft.com/office/drawing/2014/main" id="{1568323A-160A-70DF-C5F5-2BED0B5FA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77149" y="0"/>
          <a:ext cx="695601" cy="11144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Proveedores" displayName="tablaProveedores" ref="C10:D11" insertRow="1" totalsRowShown="0" dataDxfId="21">
  <tableColumns count="2">
    <tableColumn id="1" xr3:uid="{00000000-0010-0000-0000-000001000000}" name="N° Proveedor S/Acta" dataDxfId="20"/>
    <tableColumn id="2" xr3:uid="{00000000-0010-0000-0000-000002000000}" name="↓ Ingrese Nombre Proveedor S/Acta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Renglones" displayName="tablaRenglones" ref="H10:K11" insertRow="1" totalsRowShown="0" headerRowDxfId="19" dataDxfId="18">
  <tableColumns count="4">
    <tableColumn id="1" xr3:uid="{00000000-0010-0000-0100-000001000000}" name="N° Orden" dataDxfId="17"/>
    <tableColumn id="5" xr3:uid="{00000000-0010-0000-0100-000005000000}" name="N° renglon" dataDxfId="16"/>
    <tableColumn id="2" xr3:uid="{00000000-0010-0000-0100-000002000000}" name="Detalle ↓ Ingrese la descripcion según pliego" dataDxfId="15"/>
    <tableColumn id="3" xr3:uid="{00000000-0010-0000-0100-000003000000}" name=" Cant. Solicitada S/Pliego" dataDxfId="14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8E80BE-7E0D-4AC7-AC27-169CBFECBBF4}" name="lo_cat" displayName="lo_cat" ref="Q1:R31" totalsRowShown="0" dataDxfId="13">
  <autoFilter ref="Q1:R31" xr:uid="{B78E80BE-7E0D-4AC7-AC27-169CBFECBBF4}"/>
  <tableColumns count="2">
    <tableColumn id="1" xr3:uid="{01ADC6A7-9FA5-48FB-8626-850AF0B9D444}" name="CATEGORIAS" dataDxfId="12"/>
    <tableColumn id="2" xr3:uid="{C99D3F93-F00C-46EB-992D-14B5B0DE6675}" name="ID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D647A52-4175-4381-B86D-15D3B4AC6170}" name="lo_organismos" displayName="lo_organismos" ref="M1:N25" totalsRowShown="0" dataDxfId="10">
  <autoFilter ref="M1:N25" xr:uid="{3D647A52-4175-4381-B86D-15D3B4AC6170}"/>
  <sortState xmlns:xlrd2="http://schemas.microsoft.com/office/spreadsheetml/2017/richdata2" ref="M2:N25">
    <sortCondition ref="M1:M25"/>
  </sortState>
  <tableColumns count="2">
    <tableColumn id="1" xr3:uid="{DF615F98-E1E2-49F8-82C9-0BD9F52FBC10}" name="ORGANISMOS" dataDxfId="9"/>
    <tableColumn id="2" xr3:uid="{92FF0B92-BC6C-443E-AD2B-AE06B8D14D84}" name="ID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roProv">
    <tabColor theme="9" tint="0.59999389629810485"/>
  </sheetPr>
  <dimension ref="B2:N112"/>
  <sheetViews>
    <sheetView showGridLines="0" tabSelected="1" topLeftCell="B1" workbookViewId="0">
      <selection activeCell="J10" sqref="J10"/>
    </sheetView>
  </sheetViews>
  <sheetFormatPr baseColWidth="10" defaultColWidth="8.85546875" defaultRowHeight="15" x14ac:dyDescent="0.25"/>
  <cols>
    <col min="1" max="1" width="5.5703125" customWidth="1"/>
    <col min="2" max="2" width="11.5703125" customWidth="1"/>
    <col min="3" max="3" width="8.85546875" customWidth="1"/>
    <col min="4" max="4" width="36" customWidth="1"/>
    <col min="5" max="5" width="8.85546875" style="1"/>
    <col min="6" max="6" width="7.28515625" customWidth="1"/>
    <col min="8" max="8" width="9.85546875" customWidth="1"/>
    <col min="10" max="10" width="53.28515625" customWidth="1"/>
    <col min="11" max="11" width="16" customWidth="1"/>
    <col min="12" max="12" width="36.28515625" customWidth="1"/>
  </cols>
  <sheetData>
    <row r="2" spans="2:14" ht="30.6" customHeight="1" x14ac:dyDescent="0.35">
      <c r="C2" s="56"/>
      <c r="L2" s="105"/>
      <c r="M2" s="10"/>
      <c r="N2" s="3"/>
    </row>
    <row r="3" spans="2:14" ht="30.6" customHeight="1" x14ac:dyDescent="0.35">
      <c r="C3" s="56"/>
    </row>
    <row r="4" spans="2:14" ht="30.6" customHeight="1" x14ac:dyDescent="0.35">
      <c r="C4" s="56"/>
    </row>
    <row r="5" spans="2:14" ht="19.149999999999999" customHeight="1" x14ac:dyDescent="0.25"/>
    <row r="6" spans="2:14" ht="30" x14ac:dyDescent="0.25">
      <c r="B6" s="104" t="s">
        <v>62</v>
      </c>
      <c r="C6" s="104"/>
      <c r="D6" s="52" t="s">
        <v>32</v>
      </c>
      <c r="E6" s="53" t="s">
        <v>4</v>
      </c>
      <c r="F6" s="53" t="s">
        <v>3</v>
      </c>
      <c r="G6" s="53" t="s">
        <v>5</v>
      </c>
      <c r="H6" s="53" t="s">
        <v>46</v>
      </c>
      <c r="I6" s="53" t="s">
        <v>47</v>
      </c>
      <c r="J6" s="52" t="s">
        <v>60</v>
      </c>
      <c r="K6" s="53" t="s">
        <v>61</v>
      </c>
    </row>
    <row r="7" spans="2:14" ht="24.6" customHeight="1" x14ac:dyDescent="0.25">
      <c r="B7" s="107"/>
      <c r="C7" s="108"/>
      <c r="D7" s="54"/>
      <c r="E7" s="54"/>
      <c r="F7" s="54"/>
      <c r="G7" s="54"/>
      <c r="H7" s="54"/>
      <c r="I7" s="54"/>
      <c r="J7" s="103"/>
      <c r="K7" s="106"/>
    </row>
    <row r="8" spans="2:14" ht="22.15" customHeight="1" x14ac:dyDescent="0.25">
      <c r="D8" s="1"/>
    </row>
    <row r="9" spans="2:14" ht="21" x14ac:dyDescent="0.35">
      <c r="C9" s="51" t="s">
        <v>45</v>
      </c>
      <c r="D9" s="44"/>
      <c r="H9" s="51" t="s">
        <v>48</v>
      </c>
      <c r="I9" s="44"/>
      <c r="J9" s="44"/>
      <c r="K9" s="44"/>
    </row>
    <row r="10" spans="2:14" ht="49.15" customHeight="1" x14ac:dyDescent="0.25">
      <c r="C10" s="2" t="s">
        <v>0</v>
      </c>
      <c r="D10" s="1" t="s">
        <v>49</v>
      </c>
      <c r="H10" s="2" t="s">
        <v>33</v>
      </c>
      <c r="I10" s="2" t="s">
        <v>1</v>
      </c>
      <c r="J10" s="2" t="s">
        <v>50</v>
      </c>
      <c r="K10" s="2" t="s">
        <v>54</v>
      </c>
    </row>
    <row r="11" spans="2:14" s="77" customFormat="1" ht="23.45" customHeight="1" x14ac:dyDescent="0.25">
      <c r="C11" s="78"/>
      <c r="D11" s="1"/>
      <c r="E11" s="76"/>
      <c r="H11" s="112"/>
      <c r="I11" s="17"/>
      <c r="J11" s="17"/>
      <c r="K11" s="1"/>
      <c r="L11"/>
    </row>
    <row r="12" spans="2:14" s="77" customFormat="1" x14ac:dyDescent="0.25">
      <c r="E12" s="76"/>
      <c r="H12"/>
      <c r="I12"/>
      <c r="J12"/>
      <c r="K12"/>
    </row>
    <row r="13" spans="2:14" s="77" customFormat="1" x14ac:dyDescent="0.25">
      <c r="H13"/>
      <c r="I13"/>
      <c r="J13"/>
      <c r="K13"/>
    </row>
    <row r="14" spans="2:14" s="77" customFormat="1" x14ac:dyDescent="0.25">
      <c r="H14"/>
      <c r="I14"/>
      <c r="J14"/>
      <c r="K14"/>
    </row>
    <row r="15" spans="2:14" s="77" customFormat="1" x14ac:dyDescent="0.25">
      <c r="H15"/>
      <c r="I15"/>
      <c r="J15"/>
      <c r="K15"/>
    </row>
    <row r="16" spans="2:14" s="77" customFormat="1" x14ac:dyDescent="0.25">
      <c r="E16" s="76"/>
      <c r="H16"/>
      <c r="I16"/>
      <c r="J16"/>
      <c r="K16"/>
    </row>
    <row r="17" spans="3:11" s="77" customFormat="1" x14ac:dyDescent="0.25">
      <c r="E17" s="76"/>
      <c r="H17"/>
      <c r="I17"/>
      <c r="J17"/>
      <c r="K17"/>
    </row>
    <row r="18" spans="3:11" s="77" customFormat="1" ht="34.9" customHeight="1" x14ac:dyDescent="0.25">
      <c r="E18" s="76"/>
      <c r="H18"/>
      <c r="I18"/>
      <c r="J18"/>
      <c r="K18"/>
    </row>
    <row r="19" spans="3:11" s="77" customFormat="1" x14ac:dyDescent="0.25">
      <c r="E19" s="76"/>
      <c r="H19"/>
      <c r="I19"/>
      <c r="J19"/>
      <c r="K19"/>
    </row>
    <row r="20" spans="3:11" s="77" customFormat="1" x14ac:dyDescent="0.25">
      <c r="E20" s="76"/>
      <c r="H20"/>
      <c r="I20"/>
      <c r="J20"/>
      <c r="K20"/>
    </row>
    <row r="21" spans="3:11" s="77" customFormat="1" x14ac:dyDescent="0.25">
      <c r="E21" s="76"/>
      <c r="H21"/>
      <c r="I21"/>
      <c r="J21"/>
      <c r="K21"/>
    </row>
    <row r="22" spans="3:11" s="77" customFormat="1" x14ac:dyDescent="0.25">
      <c r="E22" s="76"/>
      <c r="H22"/>
      <c r="I22"/>
      <c r="J22"/>
      <c r="K22"/>
    </row>
    <row r="23" spans="3:11" s="77" customFormat="1" x14ac:dyDescent="0.25">
      <c r="H23"/>
      <c r="I23"/>
      <c r="J23"/>
      <c r="K23"/>
    </row>
    <row r="24" spans="3:11" s="77" customFormat="1" x14ac:dyDescent="0.25">
      <c r="H24"/>
      <c r="I24"/>
      <c r="J24"/>
      <c r="K24"/>
    </row>
    <row r="25" spans="3:11" s="77" customFormat="1" ht="15" customHeight="1" x14ac:dyDescent="0.25">
      <c r="H25"/>
      <c r="I25"/>
      <c r="J25"/>
      <c r="K25"/>
    </row>
    <row r="26" spans="3:11" s="77" customFormat="1" x14ac:dyDescent="0.25">
      <c r="C26"/>
      <c r="D26"/>
      <c r="H26"/>
      <c r="I26"/>
      <c r="J26"/>
      <c r="K26"/>
    </row>
    <row r="27" spans="3:11" s="77" customFormat="1" x14ac:dyDescent="0.25">
      <c r="C27"/>
      <c r="D27"/>
      <c r="E27" s="76"/>
      <c r="H27"/>
      <c r="I27"/>
      <c r="J27"/>
      <c r="K27"/>
    </row>
    <row r="28" spans="3:11" s="77" customFormat="1" x14ac:dyDescent="0.25">
      <c r="C28"/>
      <c r="D28"/>
      <c r="E28" s="76"/>
      <c r="H28"/>
      <c r="I28"/>
      <c r="J28"/>
      <c r="K28"/>
    </row>
    <row r="29" spans="3:11" s="77" customFormat="1" x14ac:dyDescent="0.25">
      <c r="C29"/>
      <c r="D29"/>
      <c r="E29" s="76"/>
      <c r="H29"/>
      <c r="I29"/>
      <c r="J29"/>
      <c r="K29"/>
    </row>
    <row r="30" spans="3:11" s="77" customFormat="1" x14ac:dyDescent="0.25">
      <c r="C30"/>
      <c r="D30"/>
      <c r="E30" s="76"/>
      <c r="H30"/>
      <c r="I30"/>
      <c r="J30"/>
      <c r="K30"/>
    </row>
    <row r="31" spans="3:11" s="77" customFormat="1" x14ac:dyDescent="0.25">
      <c r="C31"/>
      <c r="D31"/>
      <c r="E31" s="76"/>
      <c r="H31"/>
      <c r="I31"/>
      <c r="J31"/>
      <c r="K31"/>
    </row>
    <row r="32" spans="3:11" s="77" customFormat="1" ht="15" customHeight="1" x14ac:dyDescent="0.25">
      <c r="C32"/>
      <c r="D32"/>
      <c r="E32" s="76"/>
      <c r="H32"/>
      <c r="I32"/>
      <c r="J32"/>
      <c r="K32"/>
    </row>
    <row r="33" spans="3:11" s="77" customFormat="1" x14ac:dyDescent="0.25">
      <c r="C33"/>
      <c r="D33"/>
      <c r="E33" s="76"/>
      <c r="H33"/>
      <c r="I33"/>
      <c r="J33"/>
      <c r="K33"/>
    </row>
    <row r="34" spans="3:11" s="77" customFormat="1" x14ac:dyDescent="0.25">
      <c r="C34"/>
      <c r="D34"/>
      <c r="E34" s="76"/>
      <c r="H34"/>
      <c r="I34"/>
      <c r="J34"/>
      <c r="K34"/>
    </row>
    <row r="35" spans="3:11" s="77" customFormat="1" x14ac:dyDescent="0.25">
      <c r="C35"/>
      <c r="D35"/>
      <c r="E35" s="76"/>
      <c r="H35"/>
      <c r="I35"/>
      <c r="J35"/>
      <c r="K35"/>
    </row>
    <row r="36" spans="3:11" x14ac:dyDescent="0.25">
      <c r="G36" s="77"/>
    </row>
    <row r="37" spans="3:11" x14ac:dyDescent="0.25">
      <c r="G37" s="77"/>
    </row>
    <row r="38" spans="3:11" x14ac:dyDescent="0.25">
      <c r="G38" s="77"/>
    </row>
    <row r="39" spans="3:11" x14ac:dyDescent="0.25">
      <c r="G39" s="77"/>
    </row>
    <row r="40" spans="3:11" x14ac:dyDescent="0.25">
      <c r="G40" s="77"/>
    </row>
    <row r="41" spans="3:11" x14ac:dyDescent="0.25">
      <c r="G41" s="77"/>
    </row>
    <row r="42" spans="3:11" x14ac:dyDescent="0.25">
      <c r="G42" s="77"/>
    </row>
    <row r="43" spans="3:11" x14ac:dyDescent="0.25">
      <c r="G43" s="77"/>
    </row>
    <row r="44" spans="3:11" x14ac:dyDescent="0.25">
      <c r="G44" s="77"/>
    </row>
    <row r="45" spans="3:11" x14ac:dyDescent="0.25">
      <c r="G45" s="77"/>
    </row>
    <row r="46" spans="3:11" x14ac:dyDescent="0.25">
      <c r="G46" s="77"/>
    </row>
    <row r="47" spans="3:11" x14ac:dyDescent="0.25">
      <c r="G47" s="77"/>
    </row>
    <row r="48" spans="3:11" x14ac:dyDescent="0.25">
      <c r="G48" s="77"/>
    </row>
    <row r="49" spans="7:7" x14ac:dyDescent="0.25">
      <c r="G49" s="77"/>
    </row>
    <row r="50" spans="7:7" x14ac:dyDescent="0.25">
      <c r="G50" s="77"/>
    </row>
    <row r="51" spans="7:7" x14ac:dyDescent="0.25">
      <c r="G51" s="77"/>
    </row>
    <row r="52" spans="7:7" x14ac:dyDescent="0.25">
      <c r="G52" s="77"/>
    </row>
    <row r="53" spans="7:7" x14ac:dyDescent="0.25">
      <c r="G53" s="77"/>
    </row>
    <row r="54" spans="7:7" x14ac:dyDescent="0.25">
      <c r="G54" s="77"/>
    </row>
    <row r="55" spans="7:7" x14ac:dyDescent="0.25">
      <c r="G55" s="77"/>
    </row>
    <row r="56" spans="7:7" x14ac:dyDescent="0.25">
      <c r="G56" s="77"/>
    </row>
    <row r="57" spans="7:7" x14ac:dyDescent="0.25">
      <c r="G57" s="77"/>
    </row>
    <row r="58" spans="7:7" x14ac:dyDescent="0.25">
      <c r="G58" s="77"/>
    </row>
    <row r="59" spans="7:7" x14ac:dyDescent="0.25">
      <c r="G59" s="77"/>
    </row>
    <row r="60" spans="7:7" x14ac:dyDescent="0.25">
      <c r="G60" s="77"/>
    </row>
    <row r="61" spans="7:7" x14ac:dyDescent="0.25">
      <c r="G61" s="77"/>
    </row>
    <row r="62" spans="7:7" x14ac:dyDescent="0.25">
      <c r="G62" s="77"/>
    </row>
    <row r="63" spans="7:7" x14ac:dyDescent="0.25">
      <c r="G63" s="77"/>
    </row>
    <row r="64" spans="7:7" x14ac:dyDescent="0.25">
      <c r="G64" s="77"/>
    </row>
    <row r="65" spans="7:7" x14ac:dyDescent="0.25">
      <c r="G65" s="77"/>
    </row>
    <row r="66" spans="7:7" x14ac:dyDescent="0.25">
      <c r="G66" s="77"/>
    </row>
    <row r="67" spans="7:7" x14ac:dyDescent="0.25">
      <c r="G67" s="77"/>
    </row>
    <row r="68" spans="7:7" x14ac:dyDescent="0.25">
      <c r="G68" s="77"/>
    </row>
    <row r="69" spans="7:7" x14ac:dyDescent="0.25">
      <c r="G69" s="77"/>
    </row>
    <row r="70" spans="7:7" x14ac:dyDescent="0.25">
      <c r="G70" s="77"/>
    </row>
    <row r="71" spans="7:7" x14ac:dyDescent="0.25">
      <c r="G71" s="77"/>
    </row>
    <row r="72" spans="7:7" x14ac:dyDescent="0.25">
      <c r="G72" s="77"/>
    </row>
    <row r="73" spans="7:7" x14ac:dyDescent="0.25">
      <c r="G73" s="77"/>
    </row>
    <row r="74" spans="7:7" x14ac:dyDescent="0.25">
      <c r="G74" s="77"/>
    </row>
    <row r="75" spans="7:7" x14ac:dyDescent="0.25">
      <c r="G75" s="77"/>
    </row>
    <row r="76" spans="7:7" x14ac:dyDescent="0.25">
      <c r="G76" s="77"/>
    </row>
    <row r="77" spans="7:7" x14ac:dyDescent="0.25">
      <c r="G77" s="77"/>
    </row>
    <row r="78" spans="7:7" x14ac:dyDescent="0.25">
      <c r="G78" s="77"/>
    </row>
    <row r="79" spans="7:7" x14ac:dyDescent="0.25">
      <c r="G79" s="77"/>
    </row>
    <row r="80" spans="7:7" x14ac:dyDescent="0.25">
      <c r="G80" s="77"/>
    </row>
    <row r="81" spans="7:7" x14ac:dyDescent="0.25">
      <c r="G81" s="77"/>
    </row>
    <row r="82" spans="7:7" x14ac:dyDescent="0.25">
      <c r="G82" s="77"/>
    </row>
    <row r="83" spans="7:7" x14ac:dyDescent="0.25">
      <c r="G83" s="77"/>
    </row>
    <row r="84" spans="7:7" x14ac:dyDescent="0.25">
      <c r="G84" s="77"/>
    </row>
    <row r="85" spans="7:7" x14ac:dyDescent="0.25">
      <c r="G85" s="77"/>
    </row>
    <row r="86" spans="7:7" x14ac:dyDescent="0.25">
      <c r="G86" s="77"/>
    </row>
    <row r="87" spans="7:7" x14ac:dyDescent="0.25">
      <c r="G87" s="77"/>
    </row>
    <row r="88" spans="7:7" x14ac:dyDescent="0.25">
      <c r="G88" s="77"/>
    </row>
    <row r="89" spans="7:7" x14ac:dyDescent="0.25">
      <c r="G89" s="77"/>
    </row>
    <row r="90" spans="7:7" x14ac:dyDescent="0.25">
      <c r="G90" s="77"/>
    </row>
    <row r="91" spans="7:7" x14ac:dyDescent="0.25">
      <c r="G91" s="77"/>
    </row>
    <row r="92" spans="7:7" x14ac:dyDescent="0.25">
      <c r="G92" s="77"/>
    </row>
    <row r="93" spans="7:7" x14ac:dyDescent="0.25">
      <c r="G93" s="77"/>
    </row>
    <row r="94" spans="7:7" x14ac:dyDescent="0.25">
      <c r="G94" s="77"/>
    </row>
    <row r="95" spans="7:7" x14ac:dyDescent="0.25">
      <c r="G95" s="77"/>
    </row>
    <row r="96" spans="7:7" x14ac:dyDescent="0.25">
      <c r="G96" s="77"/>
    </row>
    <row r="97" spans="7:7" x14ac:dyDescent="0.25">
      <c r="G97" s="77"/>
    </row>
    <row r="98" spans="7:7" x14ac:dyDescent="0.25">
      <c r="G98" s="77"/>
    </row>
    <row r="99" spans="7:7" x14ac:dyDescent="0.25">
      <c r="G99" s="77"/>
    </row>
    <row r="100" spans="7:7" x14ac:dyDescent="0.25">
      <c r="G100" s="77"/>
    </row>
    <row r="101" spans="7:7" x14ac:dyDescent="0.25">
      <c r="G101" s="77"/>
    </row>
    <row r="102" spans="7:7" x14ac:dyDescent="0.25">
      <c r="G102" s="77"/>
    </row>
    <row r="103" spans="7:7" x14ac:dyDescent="0.25">
      <c r="G103" s="77"/>
    </row>
    <row r="104" spans="7:7" x14ac:dyDescent="0.25">
      <c r="G104" s="77"/>
    </row>
    <row r="105" spans="7:7" x14ac:dyDescent="0.25">
      <c r="G105" s="77"/>
    </row>
    <row r="106" spans="7:7" x14ac:dyDescent="0.25">
      <c r="G106" s="77"/>
    </row>
    <row r="107" spans="7:7" x14ac:dyDescent="0.25">
      <c r="G107" s="77"/>
    </row>
    <row r="108" spans="7:7" x14ac:dyDescent="0.25">
      <c r="G108" s="77"/>
    </row>
    <row r="109" spans="7:7" x14ac:dyDescent="0.25">
      <c r="G109" s="77"/>
    </row>
    <row r="110" spans="7:7" x14ac:dyDescent="0.25">
      <c r="G110" s="77"/>
    </row>
    <row r="111" spans="7:7" x14ac:dyDescent="0.25">
      <c r="G111" s="77"/>
    </row>
    <row r="112" spans="7:7" x14ac:dyDescent="0.25">
      <c r="G112" s="77"/>
    </row>
  </sheetData>
  <sheetProtection selectLockedCells="1"/>
  <dataConsolidate/>
  <conditionalFormatting sqref="J7">
    <cfRule type="expression" dxfId="7" priority="1">
      <formula>OR($J$7="",$J$7&lt;10000)</formula>
    </cfRule>
  </conditionalFormatting>
  <dataValidations count="3">
    <dataValidation type="whole" operator="greaterThan" allowBlank="1" showInputMessage="1" showErrorMessage="1" sqref="J7" xr:uid="{D50796D1-7BAB-4406-9D7C-5A6F9528E7DD}">
      <formula1>50000</formula1>
    </dataValidation>
    <dataValidation type="list" allowBlank="1" showInputMessage="1" showErrorMessage="1" errorTitle="PONE BIEN PUE" error="Elegi de la lista" sqref="B7" xr:uid="{53EA46C2-C592-4BBF-84D5-99717C4F1B4D}">
      <formula1>CATEGORIAS</formula1>
    </dataValidation>
    <dataValidation type="list" allowBlank="1" showInputMessage="1" showErrorMessage="1" errorTitle="PONE BIEN" error="Elegi bien de la lista" sqref="K7" xr:uid="{7F784FB1-A1D0-4670-8D89-F0267EF88356}">
      <formula1>ORGANISMOS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puntes">
    <tabColor theme="8" tint="0.79998168889431442"/>
  </sheetPr>
  <dimension ref="A2"/>
  <sheetViews>
    <sheetView topLeftCell="A64" zoomScaleNormal="100" workbookViewId="0">
      <selection activeCell="B69" sqref="B69:D77"/>
    </sheetView>
  </sheetViews>
  <sheetFormatPr baseColWidth="10" defaultRowHeight="15" x14ac:dyDescent="0.25"/>
  <sheetData>
    <row r="2" ht="28.15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odCuadro"/>
  <dimension ref="A1:R55"/>
  <sheetViews>
    <sheetView showGridLines="0" topLeftCell="F1" zoomScale="85" zoomScaleNormal="85" workbookViewId="0">
      <selection activeCell="N17" sqref="N17"/>
    </sheetView>
  </sheetViews>
  <sheetFormatPr baseColWidth="10" defaultRowHeight="15" x14ac:dyDescent="0.25"/>
  <cols>
    <col min="1" max="1" width="3.7109375" customWidth="1"/>
    <col min="2" max="4" width="3" customWidth="1"/>
    <col min="5" max="5" width="38.7109375" customWidth="1"/>
    <col min="6" max="8" width="20.7109375" customWidth="1"/>
    <col min="9" max="9" width="30.7109375" customWidth="1"/>
    <col min="10" max="10" width="2.7109375" customWidth="1"/>
    <col min="13" max="13" width="15.42578125" customWidth="1"/>
    <col min="15" max="15" width="15.7109375" customWidth="1"/>
  </cols>
  <sheetData>
    <row r="1" spans="1:18" x14ac:dyDescent="0.25">
      <c r="B1" s="59">
        <v>1</v>
      </c>
      <c r="C1" s="60">
        <v>2</v>
      </c>
      <c r="D1" s="60">
        <v>3</v>
      </c>
      <c r="E1" s="60">
        <v>4</v>
      </c>
      <c r="F1" s="60">
        <v>5</v>
      </c>
      <c r="G1" s="60">
        <v>6</v>
      </c>
      <c r="H1" s="60">
        <v>7</v>
      </c>
      <c r="I1" s="60">
        <v>8</v>
      </c>
      <c r="J1" s="61"/>
      <c r="M1" t="s">
        <v>63</v>
      </c>
      <c r="N1" t="s">
        <v>117</v>
      </c>
      <c r="Q1" t="s">
        <v>64</v>
      </c>
      <c r="R1" t="s">
        <v>117</v>
      </c>
    </row>
    <row r="2" spans="1:18" x14ac:dyDescent="0.25">
      <c r="A2" s="63">
        <v>1</v>
      </c>
      <c r="J2" s="37"/>
      <c r="M2" s="105">
        <v>911</v>
      </c>
      <c r="N2" s="105">
        <v>1</v>
      </c>
      <c r="Q2" s="3" t="s">
        <v>65</v>
      </c>
      <c r="R2" s="3"/>
    </row>
    <row r="3" spans="1:18" x14ac:dyDescent="0.25">
      <c r="A3" s="64">
        <v>2</v>
      </c>
      <c r="J3" s="37"/>
      <c r="M3" s="105" t="s">
        <v>92</v>
      </c>
      <c r="N3" s="105">
        <v>2</v>
      </c>
      <c r="Q3" s="3" t="s">
        <v>119</v>
      </c>
      <c r="R3" s="3"/>
    </row>
    <row r="4" spans="1:18" ht="18.75" x14ac:dyDescent="0.3">
      <c r="A4" s="64">
        <v>3</v>
      </c>
      <c r="E4" s="62" t="s">
        <v>52</v>
      </c>
      <c r="J4" s="37"/>
      <c r="M4" s="105" t="s">
        <v>93</v>
      </c>
      <c r="N4" s="105">
        <v>3</v>
      </c>
      <c r="Q4" s="3" t="s">
        <v>66</v>
      </c>
      <c r="R4" s="3"/>
    </row>
    <row r="5" spans="1:18" ht="15.75" x14ac:dyDescent="0.25">
      <c r="A5" s="64">
        <v>4</v>
      </c>
      <c r="E5" s="55" t="s">
        <v>51</v>
      </c>
      <c r="J5" s="37"/>
      <c r="M5" s="105" t="s">
        <v>94</v>
      </c>
      <c r="N5" s="105">
        <v>4</v>
      </c>
      <c r="Q5" t="s">
        <v>116</v>
      </c>
      <c r="R5" s="3"/>
    </row>
    <row r="6" spans="1:18" s="10" customFormat="1" ht="18" customHeight="1" x14ac:dyDescent="0.25">
      <c r="A6" s="64">
        <v>5</v>
      </c>
      <c r="E6" s="13" t="s">
        <v>6</v>
      </c>
      <c r="F6" s="14" t="s">
        <v>7</v>
      </c>
      <c r="G6" s="15"/>
      <c r="H6" s="16"/>
      <c r="I6" s="5" t="s">
        <v>24</v>
      </c>
      <c r="J6" s="38"/>
      <c r="M6" s="105" t="s">
        <v>95</v>
      </c>
      <c r="N6" s="105">
        <v>5</v>
      </c>
      <c r="Q6" s="3" t="s">
        <v>67</v>
      </c>
      <c r="R6" s="3"/>
    </row>
    <row r="7" spans="1:18" ht="34.9" customHeight="1" x14ac:dyDescent="0.25">
      <c r="A7" s="64">
        <v>6</v>
      </c>
      <c r="C7" s="6" t="s">
        <v>8</v>
      </c>
      <c r="D7" s="83"/>
      <c r="E7" s="82">
        <v>0</v>
      </c>
      <c r="F7" s="17" t="s">
        <v>7</v>
      </c>
      <c r="G7" s="8"/>
      <c r="H7" s="9"/>
      <c r="I7" s="7">
        <v>2</v>
      </c>
      <c r="J7" s="37"/>
      <c r="M7" s="105" t="s">
        <v>96</v>
      </c>
      <c r="N7" s="105">
        <v>6</v>
      </c>
      <c r="Q7" s="3" t="s">
        <v>68</v>
      </c>
      <c r="R7" s="111"/>
    </row>
    <row r="8" spans="1:18" s="10" customFormat="1" ht="19.899999999999999" customHeight="1" x14ac:dyDescent="0.25">
      <c r="A8" s="64">
        <v>7</v>
      </c>
      <c r="C8" s="66" t="s">
        <v>53</v>
      </c>
      <c r="D8" s="85" t="s">
        <v>26</v>
      </c>
      <c r="E8" s="84" t="s">
        <v>9</v>
      </c>
      <c r="F8" s="18" t="s">
        <v>10</v>
      </c>
      <c r="G8" s="18" t="s">
        <v>11</v>
      </c>
      <c r="H8" s="18" t="s">
        <v>12</v>
      </c>
      <c r="I8" s="19" t="s">
        <v>13</v>
      </c>
      <c r="J8" s="38"/>
      <c r="M8" s="105" t="s">
        <v>97</v>
      </c>
      <c r="N8" s="105">
        <v>7</v>
      </c>
      <c r="Q8" s="3" t="s">
        <v>69</v>
      </c>
      <c r="R8" s="3"/>
    </row>
    <row r="9" spans="1:18" s="10" customFormat="1" ht="13.9" customHeight="1" x14ac:dyDescent="0.25">
      <c r="A9" s="64">
        <v>8</v>
      </c>
      <c r="C9" s="97">
        <v>1</v>
      </c>
      <c r="D9" s="98">
        <v>2</v>
      </c>
      <c r="E9" s="99" t="s">
        <v>28</v>
      </c>
      <c r="F9" s="100">
        <v>23</v>
      </c>
      <c r="G9" s="101">
        <v>123</v>
      </c>
      <c r="H9" s="101">
        <f>+G9*F9</f>
        <v>2829</v>
      </c>
      <c r="I9" s="102"/>
      <c r="J9" s="38"/>
      <c r="K9" s="96"/>
      <c r="M9" s="105" t="s">
        <v>98</v>
      </c>
      <c r="N9" s="105">
        <v>8</v>
      </c>
      <c r="Q9" s="3" t="s">
        <v>70</v>
      </c>
      <c r="R9" s="3"/>
    </row>
    <row r="10" spans="1:18" s="10" customFormat="1" ht="13.9" customHeight="1" x14ac:dyDescent="0.25">
      <c r="A10" s="64"/>
      <c r="C10" s="71"/>
      <c r="D10" s="71"/>
      <c r="E10" s="72"/>
      <c r="F10" s="73"/>
      <c r="G10" s="74"/>
      <c r="H10" s="74"/>
      <c r="I10" s="1"/>
      <c r="J10" s="38"/>
      <c r="M10" s="105" t="s">
        <v>99</v>
      </c>
      <c r="N10" s="105">
        <v>9</v>
      </c>
      <c r="Q10" s="3" t="s">
        <v>71</v>
      </c>
      <c r="R10" s="3"/>
    </row>
    <row r="11" spans="1:18" x14ac:dyDescent="0.25">
      <c r="A11" s="64">
        <v>9</v>
      </c>
      <c r="F11" s="4"/>
      <c r="J11" s="37"/>
      <c r="M11" s="105" t="s">
        <v>100</v>
      </c>
      <c r="N11" s="105">
        <v>10</v>
      </c>
      <c r="Q11" s="3" t="s">
        <v>72</v>
      </c>
      <c r="R11" s="3"/>
    </row>
    <row r="12" spans="1:18" s="12" customFormat="1" ht="12" customHeight="1" x14ac:dyDescent="0.25">
      <c r="A12" s="64">
        <v>11</v>
      </c>
      <c r="C12" s="12" t="s">
        <v>14</v>
      </c>
      <c r="E12" s="80"/>
      <c r="G12" s="79" t="s">
        <v>15</v>
      </c>
      <c r="H12" s="80"/>
      <c r="I12" s="80"/>
      <c r="J12" s="39"/>
      <c r="M12" s="105" t="s">
        <v>101</v>
      </c>
      <c r="N12" s="105">
        <v>11</v>
      </c>
      <c r="Q12" s="3" t="s">
        <v>73</v>
      </c>
      <c r="R12" s="3"/>
    </row>
    <row r="13" spans="1:18" s="12" customFormat="1" ht="12" customHeight="1" x14ac:dyDescent="0.25">
      <c r="A13" s="64">
        <v>12</v>
      </c>
      <c r="J13" s="39"/>
      <c r="M13" s="105" t="s">
        <v>102</v>
      </c>
      <c r="N13" s="105">
        <v>12</v>
      </c>
      <c r="Q13" s="3" t="s">
        <v>74</v>
      </c>
      <c r="R13" s="109"/>
    </row>
    <row r="14" spans="1:18" s="12" customFormat="1" ht="12" customHeight="1" x14ac:dyDescent="0.25">
      <c r="A14" s="64">
        <v>14</v>
      </c>
      <c r="J14" s="39"/>
      <c r="M14" s="105" t="s">
        <v>103</v>
      </c>
      <c r="N14" s="105">
        <v>13</v>
      </c>
      <c r="Q14" s="3" t="s">
        <v>90</v>
      </c>
      <c r="R14" s="109"/>
    </row>
    <row r="15" spans="1:18" s="12" customFormat="1" ht="12" customHeight="1" x14ac:dyDescent="0.25">
      <c r="A15" s="64">
        <v>15</v>
      </c>
      <c r="C15" s="12" t="s">
        <v>16</v>
      </c>
      <c r="E15" s="80"/>
      <c r="F15" s="80"/>
      <c r="G15" s="80"/>
      <c r="H15" s="80"/>
      <c r="J15" s="39"/>
      <c r="M15" s="105" t="s">
        <v>104</v>
      </c>
      <c r="N15" s="105">
        <v>14</v>
      </c>
      <c r="Q15" s="3" t="s">
        <v>88</v>
      </c>
      <c r="R15" s="109"/>
    </row>
    <row r="16" spans="1:18" s="12" customFormat="1" ht="12" customHeight="1" x14ac:dyDescent="0.25">
      <c r="A16" s="64">
        <v>17</v>
      </c>
      <c r="J16" s="39"/>
      <c r="M16" s="105" t="s">
        <v>105</v>
      </c>
      <c r="N16" s="105">
        <v>15</v>
      </c>
      <c r="Q16" s="3" t="s">
        <v>89</v>
      </c>
      <c r="R16" s="109"/>
    </row>
    <row r="17" spans="1:18" s="12" customFormat="1" ht="12" customHeight="1" x14ac:dyDescent="0.25">
      <c r="A17" s="64">
        <v>18</v>
      </c>
      <c r="J17" s="39"/>
      <c r="M17" s="105" t="s">
        <v>106</v>
      </c>
      <c r="N17" s="105">
        <v>16</v>
      </c>
      <c r="Q17" s="3" t="s">
        <v>75</v>
      </c>
      <c r="R17" s="109"/>
    </row>
    <row r="18" spans="1:18" s="12" customFormat="1" ht="12" customHeight="1" x14ac:dyDescent="0.25">
      <c r="A18" s="64">
        <v>19</v>
      </c>
      <c r="E18" s="81"/>
      <c r="F18" s="81"/>
      <c r="G18" s="81"/>
      <c r="H18" s="81"/>
      <c r="I18" s="81"/>
      <c r="J18" s="39"/>
      <c r="M18" s="105" t="s">
        <v>107</v>
      </c>
      <c r="N18" s="105">
        <v>17</v>
      </c>
      <c r="Q18" s="3" t="s">
        <v>91</v>
      </c>
      <c r="R18" s="109"/>
    </row>
    <row r="19" spans="1:18" s="12" customFormat="1" ht="12" customHeight="1" x14ac:dyDescent="0.25">
      <c r="A19" s="64">
        <v>20</v>
      </c>
      <c r="E19" s="11" t="s">
        <v>17</v>
      </c>
      <c r="F19" s="11"/>
      <c r="G19" s="11"/>
      <c r="H19" s="11"/>
      <c r="I19" s="11"/>
      <c r="J19" s="39"/>
      <c r="M19" s="105" t="s">
        <v>108</v>
      </c>
      <c r="N19" s="105">
        <v>18</v>
      </c>
      <c r="Q19" s="3" t="s">
        <v>76</v>
      </c>
      <c r="R19" s="109"/>
    </row>
    <row r="20" spans="1:18" x14ac:dyDescent="0.25">
      <c r="A20" s="65"/>
      <c r="B20" s="37"/>
      <c r="C20" s="37"/>
      <c r="D20" s="37"/>
      <c r="E20" s="37"/>
      <c r="F20" s="37"/>
      <c r="G20" s="37"/>
      <c r="H20" s="37"/>
      <c r="I20" s="37"/>
      <c r="J20" s="37"/>
      <c r="M20" s="105" t="s">
        <v>109</v>
      </c>
      <c r="N20" s="105">
        <v>19</v>
      </c>
      <c r="Q20" s="3" t="s">
        <v>77</v>
      </c>
      <c r="R20" s="109"/>
    </row>
    <row r="21" spans="1:18" x14ac:dyDescent="0.25">
      <c r="J21" s="93"/>
      <c r="M21" s="105" t="s">
        <v>110</v>
      </c>
      <c r="N21" s="105">
        <v>20</v>
      </c>
      <c r="Q21" s="3" t="s">
        <v>78</v>
      </c>
      <c r="R21" s="3"/>
    </row>
    <row r="22" spans="1:18" x14ac:dyDescent="0.25">
      <c r="J22" s="93"/>
      <c r="M22" s="105" t="s">
        <v>111</v>
      </c>
      <c r="N22" s="105">
        <v>21</v>
      </c>
      <c r="Q22" s="3" t="s">
        <v>79</v>
      </c>
      <c r="R22" s="3"/>
    </row>
    <row r="23" spans="1:18" x14ac:dyDescent="0.25">
      <c r="J23" s="93"/>
      <c r="M23" s="105" t="s">
        <v>112</v>
      </c>
      <c r="N23" s="105">
        <v>22</v>
      </c>
      <c r="Q23" s="3" t="s">
        <v>80</v>
      </c>
      <c r="R23" s="3"/>
    </row>
    <row r="24" spans="1:18" ht="15.75" x14ac:dyDescent="0.25">
      <c r="E24" s="32" t="s">
        <v>18</v>
      </c>
      <c r="J24" s="93"/>
      <c r="M24" s="105" t="s">
        <v>113</v>
      </c>
      <c r="N24" s="105">
        <v>23</v>
      </c>
      <c r="Q24" s="3" t="s">
        <v>81</v>
      </c>
      <c r="R24" s="3"/>
    </row>
    <row r="25" spans="1:18" ht="21" x14ac:dyDescent="0.25">
      <c r="D25" s="33" t="s">
        <v>23</v>
      </c>
      <c r="F25" s="3"/>
      <c r="G25" s="3"/>
      <c r="H25" s="3"/>
      <c r="I25" s="3"/>
      <c r="J25" s="93"/>
      <c r="M25" s="105" t="s">
        <v>114</v>
      </c>
      <c r="N25" s="105">
        <v>24</v>
      </c>
      <c r="Q25" s="3" t="s">
        <v>82</v>
      </c>
      <c r="R25" s="3"/>
    </row>
    <row r="26" spans="1:18" ht="21" customHeight="1" x14ac:dyDescent="0.25">
      <c r="C26" s="22" t="s">
        <v>8</v>
      </c>
      <c r="D26" s="23"/>
      <c r="E26" s="24" t="s">
        <v>7</v>
      </c>
      <c r="F26" s="24"/>
      <c r="G26" s="24"/>
      <c r="H26" s="24"/>
      <c r="I26" s="25" t="s">
        <v>24</v>
      </c>
      <c r="J26" s="93"/>
      <c r="Q26" s="3" t="s">
        <v>83</v>
      </c>
      <c r="R26" s="3"/>
    </row>
    <row r="27" spans="1:18" ht="20.45" customHeight="1" x14ac:dyDescent="0.25">
      <c r="C27" s="27">
        <v>1</v>
      </c>
      <c r="D27" s="28"/>
      <c r="E27" s="29" t="s">
        <v>25</v>
      </c>
      <c r="F27" s="30"/>
      <c r="G27" s="30"/>
      <c r="H27" s="31"/>
      <c r="I27" s="26">
        <v>1231</v>
      </c>
      <c r="J27" s="93"/>
      <c r="Q27" s="3" t="s">
        <v>84</v>
      </c>
      <c r="R27" s="3"/>
    </row>
    <row r="28" spans="1:18" x14ac:dyDescent="0.25">
      <c r="J28" s="93"/>
      <c r="Q28" s="3" t="s">
        <v>85</v>
      </c>
      <c r="R28" s="3"/>
    </row>
    <row r="29" spans="1:18" x14ac:dyDescent="0.25">
      <c r="J29" s="93"/>
      <c r="Q29" s="3" t="s">
        <v>115</v>
      </c>
      <c r="R29" s="3"/>
    </row>
    <row r="30" spans="1:18" x14ac:dyDescent="0.25">
      <c r="C30" s="12" t="s">
        <v>14</v>
      </c>
      <c r="D30" s="12"/>
      <c r="E30" s="80"/>
      <c r="F30" s="12"/>
      <c r="G30" s="12"/>
      <c r="H30" s="12"/>
      <c r="I30" s="12"/>
      <c r="J30" s="93"/>
      <c r="Q30" s="3" t="s">
        <v>86</v>
      </c>
      <c r="R30" s="3"/>
    </row>
    <row r="31" spans="1:18" x14ac:dyDescent="0.25">
      <c r="C31" s="12"/>
      <c r="D31" s="12"/>
      <c r="E31" s="12"/>
      <c r="F31" s="12"/>
      <c r="G31" s="12"/>
      <c r="H31" s="12"/>
      <c r="I31" s="12"/>
      <c r="J31" s="93"/>
      <c r="Q31" s="3" t="s">
        <v>87</v>
      </c>
      <c r="R31" s="3"/>
    </row>
    <row r="32" spans="1:18" x14ac:dyDescent="0.25">
      <c r="C32" s="12"/>
      <c r="D32" s="12"/>
      <c r="E32" s="12"/>
      <c r="F32" s="12"/>
      <c r="G32" s="12"/>
      <c r="H32" s="12"/>
      <c r="I32" s="12"/>
      <c r="J32" s="93"/>
    </row>
    <row r="33" spans="2:18" x14ac:dyDescent="0.25">
      <c r="C33" s="12"/>
      <c r="D33" s="12"/>
      <c r="E33" s="12"/>
      <c r="F33" s="12"/>
      <c r="G33" s="12"/>
      <c r="H33" s="12"/>
      <c r="I33" s="12"/>
      <c r="J33" s="93"/>
    </row>
    <row r="34" spans="2:18" x14ac:dyDescent="0.25">
      <c r="C34" s="12"/>
      <c r="D34" s="12"/>
      <c r="E34" s="80"/>
      <c r="F34" s="80"/>
      <c r="G34" s="80"/>
      <c r="H34" s="80"/>
      <c r="I34" s="80"/>
      <c r="J34" s="93"/>
    </row>
    <row r="35" spans="2:18" x14ac:dyDescent="0.25">
      <c r="C35" s="12"/>
      <c r="D35" s="12"/>
      <c r="E35" s="11" t="s">
        <v>17</v>
      </c>
      <c r="F35" s="11"/>
      <c r="G35" s="11"/>
      <c r="H35" s="11"/>
      <c r="I35" s="11"/>
      <c r="J35" s="93"/>
    </row>
    <row r="36" spans="2:18" x14ac:dyDescent="0.25">
      <c r="B36" s="93"/>
      <c r="C36" s="93"/>
      <c r="D36" s="93"/>
      <c r="E36" s="93"/>
      <c r="F36" s="93"/>
      <c r="G36" s="93"/>
      <c r="H36" s="93"/>
      <c r="I36" s="93"/>
      <c r="J36" s="93"/>
    </row>
    <row r="37" spans="2:18" x14ac:dyDescent="0.25">
      <c r="J37" s="37"/>
    </row>
    <row r="38" spans="2:18" x14ac:dyDescent="0.25">
      <c r="J38" s="37"/>
    </row>
    <row r="39" spans="2:18" ht="15.75" x14ac:dyDescent="0.25">
      <c r="E39" s="32" t="s">
        <v>18</v>
      </c>
      <c r="J39" s="37"/>
    </row>
    <row r="40" spans="2:18" ht="21" x14ac:dyDescent="0.25">
      <c r="D40" s="33" t="s">
        <v>29</v>
      </c>
      <c r="J40" s="37"/>
    </row>
    <row r="41" spans="2:18" ht="28.15" customHeight="1" x14ac:dyDescent="0.25">
      <c r="C41" s="22" t="s">
        <v>26</v>
      </c>
      <c r="D41" s="23"/>
      <c r="E41" s="20" t="s">
        <v>19</v>
      </c>
      <c r="F41" s="20" t="s">
        <v>20</v>
      </c>
      <c r="G41" s="20" t="s">
        <v>21</v>
      </c>
      <c r="H41" s="21" t="s">
        <v>22</v>
      </c>
      <c r="J41" s="37"/>
    </row>
    <row r="42" spans="2:18" s="10" customFormat="1" ht="26.45" customHeight="1" x14ac:dyDescent="0.25">
      <c r="C42" s="35">
        <v>1</v>
      </c>
      <c r="D42" s="34"/>
      <c r="E42" s="36" t="s">
        <v>27</v>
      </c>
      <c r="F42" s="41" t="s">
        <v>30</v>
      </c>
      <c r="G42" s="41" t="s">
        <v>30</v>
      </c>
      <c r="H42" s="42" t="s">
        <v>31</v>
      </c>
      <c r="J42" s="38"/>
      <c r="Q42"/>
      <c r="R42"/>
    </row>
    <row r="43" spans="2:18" x14ac:dyDescent="0.25">
      <c r="B43" s="40"/>
      <c r="C43" s="40"/>
      <c r="D43" s="40"/>
      <c r="E43" s="40"/>
      <c r="F43" s="40"/>
      <c r="G43" s="40"/>
      <c r="H43" s="40"/>
      <c r="I43" s="40"/>
      <c r="J43" s="37"/>
      <c r="Q43" s="10"/>
      <c r="R43" s="10"/>
    </row>
    <row r="44" spans="2:18" x14ac:dyDescent="0.25">
      <c r="B44" s="37"/>
      <c r="C44" s="37"/>
      <c r="D44" s="37"/>
      <c r="E44" s="37"/>
      <c r="F44" s="37"/>
      <c r="G44" s="37"/>
      <c r="H44" s="37"/>
      <c r="I44" s="37"/>
      <c r="J44" s="37"/>
    </row>
    <row r="45" spans="2:18" x14ac:dyDescent="0.25">
      <c r="J45" s="93"/>
    </row>
    <row r="46" spans="2:18" x14ac:dyDescent="0.25">
      <c r="J46" s="93"/>
    </row>
    <row r="47" spans="2:18" ht="15.75" x14ac:dyDescent="0.25">
      <c r="E47" s="32" t="s">
        <v>18</v>
      </c>
      <c r="J47" s="93"/>
    </row>
    <row r="48" spans="2:18" ht="21" x14ac:dyDescent="0.25">
      <c r="D48" s="33" t="s">
        <v>56</v>
      </c>
      <c r="J48" s="93"/>
    </row>
    <row r="49" spans="2:10" ht="28.15" customHeight="1" x14ac:dyDescent="0.25">
      <c r="C49" s="22" t="s">
        <v>26</v>
      </c>
      <c r="D49" s="23"/>
      <c r="E49" s="20" t="s">
        <v>19</v>
      </c>
      <c r="F49" s="88" t="s">
        <v>57</v>
      </c>
      <c r="G49" s="24"/>
      <c r="H49" s="24"/>
      <c r="I49" s="21" t="s">
        <v>59</v>
      </c>
      <c r="J49" s="93"/>
    </row>
    <row r="50" spans="2:10" ht="26.45" customHeight="1" x14ac:dyDescent="0.25">
      <c r="C50" s="35">
        <v>1</v>
      </c>
      <c r="D50" s="34"/>
      <c r="E50" s="36" t="s">
        <v>27</v>
      </c>
      <c r="F50" s="90" t="s">
        <v>55</v>
      </c>
      <c r="G50" s="91"/>
      <c r="H50" s="92"/>
      <c r="I50" s="89">
        <v>23</v>
      </c>
      <c r="J50" s="93"/>
    </row>
    <row r="51" spans="2:10" x14ac:dyDescent="0.25">
      <c r="J51" s="93"/>
    </row>
    <row r="52" spans="2:10" x14ac:dyDescent="0.25">
      <c r="H52" s="95" t="s">
        <v>58</v>
      </c>
      <c r="I52" s="94">
        <f>+SUM(I49:I51)</f>
        <v>23</v>
      </c>
      <c r="J52" s="93"/>
    </row>
    <row r="53" spans="2:10" x14ac:dyDescent="0.25">
      <c r="J53" s="93"/>
    </row>
    <row r="54" spans="2:10" x14ac:dyDescent="0.25">
      <c r="B54" s="93"/>
      <c r="C54" s="93"/>
      <c r="D54" s="93"/>
      <c r="E54" s="93"/>
      <c r="F54" s="93"/>
      <c r="G54" s="93"/>
      <c r="H54" s="93"/>
      <c r="I54" s="93"/>
      <c r="J54" s="93"/>
    </row>
    <row r="55" spans="2:10" x14ac:dyDescent="0.25">
      <c r="B55" s="93"/>
      <c r="C55" s="93"/>
      <c r="D55" s="93"/>
      <c r="E55" s="93"/>
      <c r="F55" s="93"/>
      <c r="G55" s="93"/>
      <c r="H55" s="93"/>
      <c r="I55" s="93"/>
      <c r="J55" s="93"/>
    </row>
  </sheetData>
  <dataConsolidate/>
  <pageMargins left="0.70866141732283472" right="0.17" top="0.953125" bottom="0.74803149606299213" header="0.31496062992125984" footer="0.31496062992125984"/>
  <pageSetup paperSize="9" scale="64" orientation="portrait" r:id="rId1"/>
  <headerFooter>
    <oddHeader>&amp;L&amp;G</oddHead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odOferta"/>
  <dimension ref="A1:I5"/>
  <sheetViews>
    <sheetView showGridLines="0" workbookViewId="0">
      <pane ySplit="3" topLeftCell="A4" activePane="bottomLeft" state="frozen"/>
      <selection pane="bottomLeft" activeCell="I9" sqref="I9"/>
    </sheetView>
  </sheetViews>
  <sheetFormatPr baseColWidth="10" defaultRowHeight="15" x14ac:dyDescent="0.25"/>
  <cols>
    <col min="1" max="3" width="5.85546875" customWidth="1"/>
    <col min="4" max="5" width="16.7109375" customWidth="1"/>
    <col min="6" max="6" width="18" customWidth="1"/>
    <col min="7" max="7" width="26.42578125" customWidth="1"/>
    <col min="8" max="8" width="14.140625" customWidth="1"/>
    <col min="9" max="9" width="40.140625" customWidth="1"/>
  </cols>
  <sheetData>
    <row r="1" spans="1:9" ht="16.149999999999999" customHeight="1" x14ac:dyDescent="0.25">
      <c r="A1" s="113">
        <v>1</v>
      </c>
      <c r="B1" s="114" t="s">
        <v>118</v>
      </c>
      <c r="C1" s="114"/>
      <c r="D1" s="114"/>
      <c r="E1" s="114"/>
      <c r="F1" s="114"/>
      <c r="H1" s="43" t="s">
        <v>41</v>
      </c>
      <c r="I1" s="70"/>
    </row>
    <row r="2" spans="1:9" ht="16.149999999999999" customHeight="1" x14ac:dyDescent="0.25">
      <c r="A2" s="113"/>
      <c r="B2" s="114"/>
      <c r="C2" s="114"/>
      <c r="D2" s="114"/>
      <c r="E2" s="114"/>
      <c r="F2" s="114"/>
      <c r="H2" s="43" t="s">
        <v>42</v>
      </c>
      <c r="I2" s="70"/>
    </row>
    <row r="3" spans="1:9" ht="17.45" customHeight="1" x14ac:dyDescent="0.25">
      <c r="A3" s="87"/>
      <c r="B3" s="86"/>
      <c r="C3" s="86"/>
      <c r="D3" s="86"/>
      <c r="E3" s="86"/>
      <c r="F3" s="110">
        <f>+SUM(F4:F1000)</f>
        <v>0</v>
      </c>
      <c r="H3" s="43" t="s">
        <v>43</v>
      </c>
      <c r="I3" s="70"/>
    </row>
    <row r="4" spans="1:9" ht="45" x14ac:dyDescent="0.25">
      <c r="A4" s="45" t="s">
        <v>44</v>
      </c>
      <c r="B4" s="46" t="s">
        <v>34</v>
      </c>
      <c r="C4" s="46" t="s">
        <v>35</v>
      </c>
      <c r="D4" s="46" t="s">
        <v>36</v>
      </c>
      <c r="E4" s="47" t="s">
        <v>37</v>
      </c>
      <c r="F4" s="47" t="s">
        <v>38</v>
      </c>
      <c r="G4" s="46" t="s">
        <v>39</v>
      </c>
      <c r="H4" s="46" t="s">
        <v>40</v>
      </c>
      <c r="I4" s="48" t="s">
        <v>2</v>
      </c>
    </row>
    <row r="5" spans="1:9" ht="20.45" customHeight="1" x14ac:dyDescent="0.25">
      <c r="A5" s="58"/>
      <c r="B5" s="49"/>
      <c r="C5" s="75"/>
      <c r="D5" s="67"/>
      <c r="E5" s="68"/>
      <c r="F5" s="57"/>
      <c r="G5" s="69"/>
      <c r="H5" s="49"/>
      <c r="I5" s="50"/>
    </row>
  </sheetData>
  <sheetProtection selectLockedCells="1"/>
  <mergeCells count="2">
    <mergeCell ref="B1:F2"/>
    <mergeCell ref="A1:A2"/>
  </mergeCells>
  <conditionalFormatting sqref="I1:I3">
    <cfRule type="expression" dxfId="6" priority="9">
      <formula>I1=""</formula>
    </cfRule>
  </conditionalFormatting>
  <conditionalFormatting sqref="D5">
    <cfRule type="expression" dxfId="5" priority="2">
      <formula>+AND(D5&lt;&gt;"",NOT(ISNUMBER(D5)))</formula>
    </cfRule>
    <cfRule type="expression" dxfId="4" priority="8">
      <formula>AND(E5&lt;&gt;"",D5="")</formula>
    </cfRule>
  </conditionalFormatting>
  <conditionalFormatting sqref="E5">
    <cfRule type="expression" dxfId="3" priority="3">
      <formula>+AND(E5&lt;&gt;"",NOT(ISNUMBER(E5)))</formula>
    </cfRule>
    <cfRule type="expression" dxfId="2" priority="7">
      <formula>AND(D5&lt;&gt;"",E5="")</formula>
    </cfRule>
  </conditionalFormatting>
  <conditionalFormatting sqref="A5">
    <cfRule type="expression" dxfId="1" priority="1">
      <formula>OR(AND(D5&lt;&gt;"",NOT(ISNUMBER(D5))),AND(E5&lt;&gt;"",NOT(ISNUMBER(E5))))</formula>
    </cfRule>
    <cfRule type="expression" dxfId="0" priority="4">
      <formula>AND(D5&lt;&gt;"",E5&lt;&gt;"")</formula>
    </cfRule>
  </conditionalFormatting>
  <dataValidations count="1">
    <dataValidation type="decimal" operator="greaterThan" allowBlank="1" showInputMessage="1" showErrorMessage="1" errorTitle="Dato Invalido" error="Solo se aceptan nùmeros en este campo." sqref="D5:E5" xr:uid="{00000000-0002-0000-07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odFinal"/>
  <dimension ref="A1"/>
  <sheetViews>
    <sheetView zoomScaleNormal="100" workbookViewId="0">
      <selection activeCell="O7" sqref="O7"/>
    </sheetView>
  </sheetViews>
  <sheetFormatPr baseColWidth="10" defaultRowHeight="15" x14ac:dyDescent="0.25"/>
  <cols>
    <col min="1" max="3" width="3" customWidth="1"/>
    <col min="4" max="4" width="38.7109375" customWidth="1"/>
    <col min="5" max="6" width="16.7109375" customWidth="1"/>
    <col min="7" max="7" width="20.7109375" customWidth="1"/>
    <col min="8" max="8" width="30.7109375" customWidth="1"/>
  </cols>
  <sheetData/>
  <dataConsolidate/>
  <pageMargins left="0.70866141732283472" right="0.75141666666666662" top="0.953125" bottom="0.74803149606299213" header="0.31496062992125984" footer="0.31496062992125984"/>
  <pageSetup paperSize="9" scale="71" orientation="portrait" r:id="rId1"/>
  <headerFooter>
    <oddHeader>&amp;L&amp;G&amp;C&amp;"-,Negrita"&amp;16Licitación Pública Nº 196/2022
Compra de Prueba</oddHeader>
    <oddFooter>&amp;R&amp;P de &amp;N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E1ACF4-3911-4A47-851E-C285E7CA4D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16</vt:i4>
      </vt:variant>
    </vt:vector>
  </HeadingPairs>
  <TitlesOfParts>
    <vt:vector size="21" baseType="lpstr">
      <vt:lpstr>Tablero</vt:lpstr>
      <vt:lpstr>Apuntes</vt:lpstr>
      <vt:lpstr>mc</vt:lpstr>
      <vt:lpstr>mo</vt:lpstr>
      <vt:lpstr>mf</vt:lpstr>
      <vt:lpstr>anoProc</vt:lpstr>
      <vt:lpstr>mc!Área_de_impresión</vt:lpstr>
      <vt:lpstr>cantProv</vt:lpstr>
      <vt:lpstr>cantReng</vt:lpstr>
      <vt:lpstr>CATEGORIAS</vt:lpstr>
      <vt:lpstr>catProc</vt:lpstr>
      <vt:lpstr>modeloCond</vt:lpstr>
      <vt:lpstr>modeloCuadro</vt:lpstr>
      <vt:lpstr>modeloDesiertos</vt:lpstr>
      <vt:lpstr>modeloTOTALES</vt:lpstr>
      <vt:lpstr>numProc</vt:lpstr>
      <vt:lpstr>objetoProc</vt:lpstr>
      <vt:lpstr>ORGANISMOS</vt:lpstr>
      <vt:lpstr>orgProc</vt:lpstr>
      <vt:lpstr>presupProc</vt:lpstr>
      <vt:lpstr>tipoProc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Raúl Leopoldo Bini</dc:creator>
  <cp:lastModifiedBy>Raúl Leopoldo Bini</cp:lastModifiedBy>
  <cp:lastPrinted>2022-06-21T15:10:57Z</cp:lastPrinted>
  <dcterms:created xsi:type="dcterms:W3CDTF">2015-06-05T18:17:20Z</dcterms:created>
  <dcterms:modified xsi:type="dcterms:W3CDTF">2024-02-16T02:45:53Z</dcterms:modified>
</cp:coreProperties>
</file>