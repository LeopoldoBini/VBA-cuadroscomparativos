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VBA-cuadroscomparativos\"/>
    </mc:Choice>
  </mc:AlternateContent>
  <xr:revisionPtr revIDLastSave="0" documentId="13_ncr:1_{9C8E7F10-A0C6-4A4E-8B9A-E367B062E8F4}" xr6:coauthVersionLast="47" xr6:coauthVersionMax="47" xr10:uidLastSave="{00000000-0000-0000-0000-000000000000}"/>
  <bookViews>
    <workbookView xWindow="-108" yWindow="-108" windowWidth="23256" windowHeight="12456" xr2:uid="{7BC30FBD-6BEA-4178-ABBE-D5BD52F7B4AA}"/>
  </bookViews>
  <sheets>
    <sheet name="Tablero" sheetId="1" r:id="rId1"/>
    <sheet name="1 - RAUL AGUSTIN CO.." sheetId="179" r:id="rId2"/>
    <sheet name="2 - PASTRANA MARCEL.." sheetId="178" r:id="rId3"/>
    <sheet name="3 - RETAMOZO ADRIAN.." sheetId="177" r:id="rId4"/>
    <sheet name="4 - RODRIGUEZ BOSCH.." sheetId="176" r:id="rId5"/>
    <sheet name="Modelo Cuadro" sheetId="49" r:id="rId6"/>
    <sheet name="mo" sheetId="124" r:id="rId7"/>
  </sheets>
  <functionGroups builtInGroupCount="19"/>
  <definedNames>
    <definedName name="_xlnm._FilterDatabase" localSheetId="5" hidden="1">'Modelo Cuadro'!#REF!</definedName>
    <definedName name="anoProc">Tablero!$F$4</definedName>
    <definedName name="_xlnm.Print_Area" localSheetId="5">'Modelo Cuadro'!#REF!</definedName>
    <definedName name="cantProv">Tablero!$H$4</definedName>
    <definedName name="cantReng">Tablero!$G$4</definedName>
    <definedName name="modeloCond">'Modelo Cuadro'!$B$44:$I$50</definedName>
    <definedName name="modeloCuadro">'Modelo Cuadro'!$B$2:$I$21</definedName>
    <definedName name="modeloDesiertos">'Modelo Cuadro'!$B$23:$I$42</definedName>
    <definedName name="numProc">Tablero!$E$4</definedName>
    <definedName name="objetoProc">Tablero!$C$4</definedName>
    <definedName name="tipoProc">Tablero!$D$4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179" l="1"/>
  <c r="F6" i="179"/>
  <c r="F7" i="179"/>
  <c r="F8" i="179"/>
  <c r="F9" i="179"/>
  <c r="F5" i="178"/>
  <c r="F6" i="178"/>
  <c r="F7" i="178"/>
  <c r="F8" i="178"/>
  <c r="F9" i="178"/>
  <c r="F5" i="177"/>
  <c r="F6" i="177"/>
  <c r="F7" i="177"/>
  <c r="F8" i="177"/>
  <c r="F9" i="177"/>
  <c r="F5" i="176"/>
  <c r="F6" i="176"/>
  <c r="F7" i="176"/>
  <c r="F8" i="176"/>
  <c r="F9" i="176"/>
  <c r="H9" i="4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A4" authorId="0" shapeId="0" xr:uid="{B4B9C137-127C-4FFF-8971-279E9476616D}">
      <text>
        <r>
          <rPr>
            <sz val="9"/>
            <color indexed="81"/>
            <rFont val="Tahoma"/>
            <family val="2"/>
          </rPr>
          <t xml:space="preserve">Es el numero correlativo del renglón
</t>
        </r>
      </text>
    </comment>
    <comment ref="B4" authorId="0" shapeId="0" xr:uid="{C9458E50-C09C-4D47-8465-8FC365CF86E2}">
      <text>
        <r>
          <rPr>
            <b/>
            <sz val="9"/>
            <color indexed="81"/>
            <rFont val="Tahoma"/>
            <family val="2"/>
          </rPr>
          <t xml:space="preserve">Renglòn Como aparece en el pliego
</t>
        </r>
      </text>
    </comment>
    <comment ref="C4" authorId="0" shapeId="0" xr:uid="{EC765963-0BF3-4568-BF56-F7C12CAF59DE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A4" authorId="0" shapeId="0" xr:uid="{EC4C5E7B-2897-4ACE-B94E-25460A20D757}">
      <text>
        <r>
          <rPr>
            <sz val="9"/>
            <color indexed="81"/>
            <rFont val="Tahoma"/>
            <family val="2"/>
          </rPr>
          <t xml:space="preserve">Es el numero correlativo del renglón
</t>
        </r>
      </text>
    </comment>
    <comment ref="B4" authorId="0" shapeId="0" xr:uid="{F3A9D6B0-B2EF-40B4-BD26-BE6473799749}">
      <text>
        <r>
          <rPr>
            <b/>
            <sz val="9"/>
            <color indexed="81"/>
            <rFont val="Tahoma"/>
            <family val="2"/>
          </rPr>
          <t xml:space="preserve">Renglòn Como aparece en el pliego
</t>
        </r>
      </text>
    </comment>
    <comment ref="C4" authorId="0" shapeId="0" xr:uid="{A06CD998-2AC0-4926-8FC3-66FD31846AC3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A4" authorId="0" shapeId="0" xr:uid="{3C2D34A1-99CD-40FF-B906-757273463F4F}">
      <text>
        <r>
          <rPr>
            <sz val="9"/>
            <color indexed="81"/>
            <rFont val="Tahoma"/>
            <family val="2"/>
          </rPr>
          <t xml:space="preserve">Es el numero correlativo del renglón
</t>
        </r>
      </text>
    </comment>
    <comment ref="B4" authorId="0" shapeId="0" xr:uid="{EC4BE2AF-40FF-4A19-940D-DC2B0F9C5CB7}">
      <text>
        <r>
          <rPr>
            <b/>
            <sz val="9"/>
            <color indexed="81"/>
            <rFont val="Tahoma"/>
            <family val="2"/>
          </rPr>
          <t xml:space="preserve">Renglòn Como aparece en el pliego
</t>
        </r>
      </text>
    </comment>
    <comment ref="C4" authorId="0" shapeId="0" xr:uid="{5C8A577A-B0B4-47FD-849F-E1F1BABC76E4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A4" authorId="0" shapeId="0" xr:uid="{F836C399-F8AB-4AE5-B774-2E2A8642B7A0}">
      <text>
        <r>
          <rPr>
            <sz val="9"/>
            <color indexed="81"/>
            <rFont val="Tahoma"/>
            <family val="2"/>
          </rPr>
          <t xml:space="preserve">Es el numero correlativo del renglón
</t>
        </r>
      </text>
    </comment>
    <comment ref="B4" authorId="0" shapeId="0" xr:uid="{8B59E996-5A91-4F11-8D8C-D6C0645877A6}">
      <text>
        <r>
          <rPr>
            <b/>
            <sz val="9"/>
            <color indexed="81"/>
            <rFont val="Tahoma"/>
            <family val="2"/>
          </rPr>
          <t xml:space="preserve">Renglòn Como aparece en el pliego
</t>
        </r>
      </text>
    </comment>
    <comment ref="C4" authorId="0" shapeId="0" xr:uid="{0743B703-343B-4452-B3E4-5FA672251C10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A4" authorId="0" shapeId="0" xr:uid="{B0DBBF20-450A-4F51-A4AF-94CA52AB1CF5}">
      <text>
        <r>
          <rPr>
            <sz val="9"/>
            <color indexed="81"/>
            <rFont val="Tahoma"/>
            <family val="2"/>
          </rPr>
          <t xml:space="preserve">Es el numero correlativo del renglón
</t>
        </r>
      </text>
    </comment>
    <comment ref="B4" authorId="0" shapeId="0" xr:uid="{7B5D4EED-5667-4CF3-9781-9547FC0659D1}">
      <text>
        <r>
          <rPr>
            <b/>
            <sz val="9"/>
            <color indexed="81"/>
            <rFont val="Tahoma"/>
            <family val="2"/>
          </rPr>
          <t xml:space="preserve">Renglòn Como aparece en el pliego
</t>
        </r>
      </text>
    </comment>
    <comment ref="C4" authorId="0" shapeId="0" xr:uid="{E0120F8A-FE01-48B0-8EAF-F8860C7AF6DE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sharedStrings.xml><?xml version="1.0" encoding="utf-8"?>
<sst xmlns="http://schemas.openxmlformats.org/spreadsheetml/2006/main" count="150" uniqueCount="67">
  <si>
    <t>N° Proveedor S/Acta</t>
  </si>
  <si>
    <t>N° renglon</t>
  </si>
  <si>
    <t>Detalle</t>
  </si>
  <si>
    <t>Nº Proc.:</t>
  </si>
  <si>
    <t>Tipo Proc.:</t>
  </si>
  <si>
    <t>Año Proc.:</t>
  </si>
  <si>
    <t>RENGLÓN</t>
  </si>
  <si>
    <t>DESCRIPCIÓN</t>
  </si>
  <si>
    <t>N°</t>
  </si>
  <si>
    <t>OFERENTE</t>
  </si>
  <si>
    <t>Cant. Of.</t>
  </si>
  <si>
    <t>P/ Unitario</t>
  </si>
  <si>
    <t>$ Total</t>
  </si>
  <si>
    <t>Observaciones</t>
  </si>
  <si>
    <t>Fecha:</t>
  </si>
  <si>
    <t xml:space="preserve">Esta comisión aconseja preadjudicar a: </t>
  </si>
  <si>
    <t xml:space="preserve">Por:   </t>
  </si>
  <si>
    <t>Firmas</t>
  </si>
  <si>
    <t>C.A. 125/22</t>
  </si>
  <si>
    <t>Proveedor</t>
  </si>
  <si>
    <t>Mant. Oferta</t>
  </si>
  <si>
    <t>Forma de Pago</t>
  </si>
  <si>
    <t>Forma de Entrega</t>
  </si>
  <si>
    <t>RENGLONES DESIERTOS</t>
  </si>
  <si>
    <t>CANT. SOLICITADA</t>
  </si>
  <si>
    <t>DETALLE NUMERO 1</t>
  </si>
  <si>
    <t>P°</t>
  </si>
  <si>
    <t>asda</t>
  </si>
  <si>
    <t>Proveedor uno</t>
  </si>
  <si>
    <t>CONDICIONES DE OFERTA</t>
  </si>
  <si>
    <t>Segùn Pliego</t>
  </si>
  <si>
    <t>Según Pliego</t>
  </si>
  <si>
    <t>Objeto:</t>
  </si>
  <si>
    <t>L.P.</t>
  </si>
  <si>
    <t>RAUL AGUSTIN CORRALES</t>
  </si>
  <si>
    <t>PASTRANA MARCELO VICENTE</t>
  </si>
  <si>
    <t>RETAMOZO ADRIAN EDUARDO</t>
  </si>
  <si>
    <t>R6 - Bolsa Plástica de 50x70 Rollo</t>
  </si>
  <si>
    <t>R8 - Plástico 100mic x 100mts largo/80cm ancho rollo</t>
  </si>
  <si>
    <t>R29 - Plástico 100mic x 100mts largo/80cm ancho rollo</t>
  </si>
  <si>
    <t>R30 - Pilas AAA Alcalinas x unidad</t>
  </si>
  <si>
    <t>R31 - Pilas C Alcalinas x unidad</t>
  </si>
  <si>
    <t>N° Orden</t>
  </si>
  <si>
    <t>RODRIGUEZ BOSCHERO CARLOS</t>
  </si>
  <si>
    <t>Reng.</t>
  </si>
  <si>
    <t>Alt. N°</t>
  </si>
  <si>
    <t>Cantidad Ofrecida</t>
  </si>
  <si>
    <t>Precio Unitario</t>
  </si>
  <si>
    <t>Total Ofertado</t>
  </si>
  <si>
    <t>Observacion</t>
  </si>
  <si>
    <t>Cant. Pedida</t>
  </si>
  <si>
    <t>Mant. Oferta:</t>
  </si>
  <si>
    <t>Forma de Pago:</t>
  </si>
  <si>
    <t>Forma de Entrega:</t>
  </si>
  <si>
    <t>N° de Orden</t>
  </si>
  <si>
    <t>Proveedores</t>
  </si>
  <si>
    <t>Cant de Reng.:</t>
  </si>
  <si>
    <t>Cant de Ofer.:</t>
  </si>
  <si>
    <t>Renglones</t>
  </si>
  <si>
    <t>↓ Ingrese Nombre Proveedor S/Acta</t>
  </si>
  <si>
    <t>Detalle ↓ Ingrese la descripcion según pliego</t>
  </si>
  <si>
    <t>Generador de Cuadros</t>
  </si>
  <si>
    <t>Adquisicion de Muebles para el SPP</t>
  </si>
  <si>
    <t xml:space="preserve">C.A. 125/22 </t>
  </si>
  <si>
    <t>O°</t>
  </si>
  <si>
    <t>Compra de Prueba</t>
  </si>
  <si>
    <t xml:space="preserve"> Cant. Solicitada S/Pliego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</si>
</sst>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18"/>
      <color theme="1"/>
      <name val="Bahnschrift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2EEE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8DAD8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auto="1"/>
      </top>
      <bottom/>
      <diagonal/>
    </border>
    <border>
      <left style="thin">
        <color theme="0" tint="-0.34998626667073579"/>
      </left>
      <right style="thin">
        <color indexed="64"/>
      </right>
      <top style="hair">
        <color auto="1"/>
      </top>
      <bottom/>
      <diagonal/>
    </border>
    <border>
      <left style="thin">
        <color theme="0" tint="-0.34998626667073579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auto="1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theme="0" tint="-0.34998626667073579"/>
      </right>
      <top style="hair">
        <color auto="1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auto="1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hair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hair">
        <color theme="0" tint="-0.499984740745262"/>
      </top>
      <bottom style="thin">
        <color indexed="64"/>
      </bottom>
      <diagonal/>
    </border>
    <border>
      <left/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theme="0" tint="-0.24994659260841701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theme="0" tint="-0.499984740745262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theme="1" tint="0.34998626667073579"/>
      </right>
      <top style="thin">
        <color theme="0" tint="-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34998626667073579"/>
      </top>
      <bottom/>
      <diagonal/>
    </border>
    <border>
      <left style="medium">
        <color theme="1" tint="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1999877925962096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9998779259620961"/>
      </left>
      <right style="thin">
        <color theme="0" tint="-0.1999877925962096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999877925962096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19998779259620961"/>
      </right>
      <top/>
      <bottom style="thin">
        <color theme="0" tint="-0.249977111117893"/>
      </bottom>
      <diagonal/>
    </border>
    <border>
      <left style="thin">
        <color theme="0" tint="-0.19998779259620961"/>
      </left>
      <right style="thin">
        <color theme="0" tint="-0.19998779259620961"/>
      </right>
      <top/>
      <bottom style="thin">
        <color theme="0" tint="-0.249977111117893"/>
      </bottom>
      <diagonal/>
    </border>
    <border>
      <left style="thin">
        <color theme="0" tint="-0.19998779259620961"/>
      </left>
      <right/>
      <top/>
      <bottom style="thin">
        <color theme="0" tint="-0.249977111117893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indexed="64"/>
      </top>
      <bottom style="thin">
        <color theme="8" tint="0.39994506668294322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3" fontId="0" fillId="0" borderId="0" xfId="0" applyNumberFormat="1"/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Continuous" vertical="center"/>
    </xf>
    <xf numFmtId="0" fontId="0" fillId="2" borderId="3" xfId="0" applyFill="1" applyBorder="1" applyAlignment="1">
      <alignment horizontal="centerContinuous" vertical="center"/>
    </xf>
    <xf numFmtId="3" fontId="0" fillId="0" borderId="6" xfId="0" applyNumberFormat="1" applyBorder="1" applyAlignment="1">
      <alignment horizontal="center" vertical="center"/>
    </xf>
    <xf numFmtId="0" fontId="0" fillId="0" borderId="8" xfId="0" applyBorder="1" applyAlignment="1">
      <alignment horizontal="centerContinuous" vertical="center"/>
    </xf>
    <xf numFmtId="0" fontId="0" fillId="0" borderId="9" xfId="0" applyBorder="1" applyAlignment="1">
      <alignment horizontal="centerContinuous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Continuous"/>
    </xf>
    <xf numFmtId="0" fontId="2" fillId="0" borderId="0" xfId="0" applyFont="1" applyAlignment="1"/>
    <xf numFmtId="0" fontId="2" fillId="0" borderId="1" xfId="0" applyFont="1" applyBorder="1" applyAlignment="1"/>
    <xf numFmtId="0" fontId="0" fillId="0" borderId="0" xfId="0" applyAlignment="1"/>
    <xf numFmtId="0" fontId="0" fillId="2" borderId="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Continuous" vertical="center"/>
    </xf>
    <xf numFmtId="0" fontId="0" fillId="2" borderId="11" xfId="0" applyFill="1" applyBorder="1" applyAlignment="1">
      <alignment horizontal="centerContinuous" vertical="center"/>
    </xf>
    <xf numFmtId="0" fontId="0" fillId="2" borderId="12" xfId="0" applyFill="1" applyBorder="1" applyAlignment="1">
      <alignment horizontal="centerContinuous" vertical="center"/>
    </xf>
    <xf numFmtId="0" fontId="3" fillId="0" borderId="7" xfId="0" applyFont="1" applyBorder="1" applyAlignment="1">
      <alignment horizontal="centerContinuous" vertical="center" wrapText="1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3" fontId="0" fillId="0" borderId="18" xfId="0" applyNumberFormat="1" applyBorder="1" applyAlignment="1">
      <alignment horizontal="center" vertical="center"/>
    </xf>
    <xf numFmtId="8" fontId="0" fillId="0" borderId="18" xfId="0" applyNumberFormat="1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Continuous" vertical="center"/>
    </xf>
    <xf numFmtId="0" fontId="0" fillId="2" borderId="21" xfId="0" applyFill="1" applyBorder="1" applyAlignment="1">
      <alignment horizontal="centerContinuous"/>
    </xf>
    <xf numFmtId="0" fontId="0" fillId="2" borderId="21" xfId="0" applyFill="1" applyBorder="1" applyAlignment="1">
      <alignment horizontal="centerContinuous" vertical="center"/>
    </xf>
    <xf numFmtId="0" fontId="0" fillId="2" borderId="2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3" fontId="6" fillId="3" borderId="23" xfId="0" applyNumberFormat="1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Continuous" vertical="center"/>
    </xf>
    <xf numFmtId="0" fontId="6" fillId="3" borderId="26" xfId="0" applyFont="1" applyFill="1" applyBorder="1" applyAlignment="1">
      <alignment horizontal="centerContinuous" vertical="center"/>
    </xf>
    <xf numFmtId="0" fontId="7" fillId="3" borderId="24" xfId="0" applyFont="1" applyFill="1" applyBorder="1" applyAlignment="1">
      <alignment horizontal="centerContinuous" vertical="center" wrapText="1"/>
    </xf>
    <xf numFmtId="0" fontId="6" fillId="3" borderId="25" xfId="0" applyFont="1" applyFill="1" applyBorder="1" applyAlignment="1">
      <alignment horizontal="centerContinuous" vertical="center" wrapText="1"/>
    </xf>
    <xf numFmtId="0" fontId="6" fillId="3" borderId="26" xfId="0" applyFont="1" applyFill="1" applyBorder="1" applyAlignment="1">
      <alignment horizontal="centerContinuous" vertical="center" wrapTex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28" xfId="0" applyNumberFormat="1" applyBorder="1" applyAlignment="1">
      <alignment horizontal="centerContinuous" vertical="center"/>
    </xf>
    <xf numFmtId="0" fontId="0" fillId="0" borderId="27" xfId="0" applyBorder="1" applyAlignment="1">
      <alignment horizontal="centerContinuous" vertical="center"/>
    </xf>
    <xf numFmtId="0" fontId="0" fillId="0" borderId="18" xfId="0" applyNumberFormat="1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0" xfId="0" applyFill="1"/>
    <xf numFmtId="0" fontId="0" fillId="4" borderId="0" xfId="0" applyFill="1"/>
    <xf numFmtId="0" fontId="0" fillId="4" borderId="0" xfId="0" applyFill="1" applyAlignment="1">
      <alignment vertical="center"/>
    </xf>
    <xf numFmtId="0" fontId="2" fillId="4" borderId="0" xfId="0" applyFont="1" applyFill="1" applyAlignment="1"/>
    <xf numFmtId="0" fontId="0" fillId="4" borderId="0" xfId="0" applyFill="1" applyAlignment="1"/>
    <xf numFmtId="0" fontId="0" fillId="5" borderId="0" xfId="0" applyFill="1"/>
    <xf numFmtId="0" fontId="2" fillId="0" borderId="18" xfId="0" applyNumberFormat="1" applyFont="1" applyBorder="1" applyAlignment="1">
      <alignment horizontal="center" vertical="center" wrapText="1"/>
    </xf>
    <xf numFmtId="0" fontId="2" fillId="0" borderId="19" xfId="0" applyNumberFormat="1" applyFont="1" applyBorder="1" applyAlignment="1">
      <alignment horizontal="center" vertical="center" wrapText="1"/>
    </xf>
    <xf numFmtId="0" fontId="0" fillId="0" borderId="29" xfId="0" applyFont="1" applyBorder="1" applyAlignment="1">
      <alignment horizontal="center"/>
    </xf>
    <xf numFmtId="0" fontId="12" fillId="0" borderId="0" xfId="0" applyFont="1" applyAlignment="1">
      <alignment horizontal="right" vertical="center"/>
    </xf>
    <xf numFmtId="0" fontId="0" fillId="0" borderId="0" xfId="0" applyAlignment="1">
      <alignment horizontal="centerContinuous"/>
    </xf>
    <xf numFmtId="0" fontId="11" fillId="6" borderId="32" xfId="0" applyFont="1" applyFill="1" applyBorder="1" applyAlignment="1">
      <alignment horizontal="center" vertical="center" wrapText="1"/>
    </xf>
    <xf numFmtId="0" fontId="11" fillId="6" borderId="33" xfId="0" applyFont="1" applyFill="1" applyBorder="1" applyAlignment="1">
      <alignment horizontal="center" vertical="center" wrapText="1"/>
    </xf>
    <xf numFmtId="164" fontId="11" fillId="6" borderId="33" xfId="0" applyNumberFormat="1" applyFont="1" applyFill="1" applyBorder="1" applyAlignment="1">
      <alignment horizontal="center" vertical="center" wrapText="1"/>
    </xf>
    <xf numFmtId="0" fontId="11" fillId="6" borderId="34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13" fillId="0" borderId="0" xfId="0" applyFont="1" applyAlignment="1">
      <alignment horizontal="centerContinuous"/>
    </xf>
    <xf numFmtId="0" fontId="8" fillId="8" borderId="41" xfId="0" applyFont="1" applyFill="1" applyBorder="1" applyAlignment="1">
      <alignment horizontal="center" vertical="center"/>
    </xf>
    <xf numFmtId="0" fontId="8" fillId="8" borderId="41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44" fontId="18" fillId="9" borderId="36" xfId="0" applyNumberFormat="1" applyFont="1" applyFill="1" applyBorder="1" applyAlignment="1">
      <alignment vertical="center"/>
    </xf>
    <xf numFmtId="44" fontId="18" fillId="9" borderId="39" xfId="0" applyNumberFormat="1" applyFont="1" applyFill="1" applyBorder="1" applyAlignment="1">
      <alignment vertical="center"/>
    </xf>
    <xf numFmtId="0" fontId="19" fillId="10" borderId="35" xfId="0" applyFont="1" applyFill="1" applyBorder="1" applyAlignment="1">
      <alignment horizontal="center" vertical="center"/>
    </xf>
    <xf numFmtId="0" fontId="19" fillId="10" borderId="38" xfId="0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0" fillId="4" borderId="1" xfId="0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4" borderId="4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3" fontId="14" fillId="7" borderId="36" xfId="0" applyNumberFormat="1" applyFont="1" applyFill="1" applyBorder="1" applyAlignment="1" applyProtection="1">
      <alignment horizontal="center" vertical="center"/>
      <protection locked="0" hidden="1"/>
    </xf>
    <xf numFmtId="164" fontId="14" fillId="7" borderId="36" xfId="0" applyNumberFormat="1" applyFont="1" applyFill="1" applyBorder="1" applyAlignment="1" applyProtection="1">
      <alignment horizontal="center" vertical="center"/>
      <protection locked="0" hidden="1"/>
    </xf>
    <xf numFmtId="0" fontId="0" fillId="7" borderId="36" xfId="0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3" fontId="14" fillId="7" borderId="39" xfId="0" applyNumberFormat="1" applyFont="1" applyFill="1" applyBorder="1" applyAlignment="1" applyProtection="1">
      <alignment horizontal="center" vertical="center"/>
      <protection locked="0" hidden="1"/>
    </xf>
    <xf numFmtId="164" fontId="14" fillId="7" borderId="39" xfId="0" applyNumberFormat="1" applyFont="1" applyFill="1" applyBorder="1" applyAlignment="1" applyProtection="1">
      <alignment horizontal="center" vertical="center"/>
      <protection locked="0" hidden="1"/>
    </xf>
    <xf numFmtId="0" fontId="0" fillId="7" borderId="39" xfId="0" applyFill="1" applyBorder="1" applyAlignment="1" applyProtection="1">
      <alignment horizontal="center" vertical="center"/>
      <protection locked="0"/>
    </xf>
    <xf numFmtId="0" fontId="0" fillId="0" borderId="31" xfId="0" applyFont="1" applyBorder="1" applyProtection="1">
      <protection locked="0"/>
    </xf>
    <xf numFmtId="0" fontId="0" fillId="0" borderId="30" xfId="0" applyFont="1" applyBorder="1" applyAlignment="1" applyProtection="1">
      <alignment horizontal="center" vertical="center"/>
      <protection locked="0"/>
    </xf>
    <xf numFmtId="0" fontId="0" fillId="0" borderId="30" xfId="0" applyFont="1" applyBorder="1" applyProtection="1">
      <protection locked="0"/>
    </xf>
  </cellXfs>
  <cellStyles count="1">
    <cellStyle name="Normal" xfId="0" builtinId="0"/>
  </cellStyles>
  <dxfs count="42">
    <dxf>
      <font>
        <b/>
        <i val="0"/>
        <color theme="0"/>
      </font>
      <fill>
        <patternFill>
          <bgColor rgb="FF348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color theme="0" tint="-0.499984740745262"/>
      </font>
      <numFmt numFmtId="15" formatCode="0.00E+00"/>
      <fill>
        <patternFill>
          <bgColor rgb="FFFFEFEF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0"/>
      </font>
      <fill>
        <patternFill>
          <bgColor rgb="FF348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color theme="0" tint="-0.499984740745262"/>
      </font>
      <numFmt numFmtId="15" formatCode="0.00E+00"/>
      <fill>
        <patternFill>
          <bgColor rgb="FFFFEFEF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0"/>
      </font>
      <fill>
        <patternFill>
          <bgColor rgb="FF348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color theme="0" tint="-0.499984740745262"/>
      </font>
      <numFmt numFmtId="15" formatCode="0.00E+00"/>
      <fill>
        <patternFill>
          <bgColor rgb="FFFFEFEF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0"/>
      </font>
      <fill>
        <patternFill>
          <bgColor rgb="FF348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color theme="0" tint="-0.499984740745262"/>
      </font>
      <numFmt numFmtId="15" formatCode="0.00E+00"/>
      <fill>
        <patternFill>
          <bgColor rgb="FFFFEFEF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0"/>
      </font>
      <fill>
        <patternFill>
          <bgColor rgb="FF348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color theme="0" tint="-0.499984740745262"/>
      </font>
      <numFmt numFmtId="15" formatCode="0.00E+00"/>
      <fill>
        <patternFill>
          <bgColor rgb="FFFFEFEF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0000"/>
      <color rgb="FF348434"/>
      <color rgb="FFFFF0F0"/>
      <color rgb="FFFFDCDC"/>
      <color rgb="FFFFEBEB"/>
      <color rgb="FFFFEFEF"/>
      <color rgb="FFD8DAD8"/>
      <color rgb="FFD1D9D1"/>
      <color rgb="FF00FF00"/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424775</xdr:colOff>
      <xdr:row>1</xdr:row>
      <xdr:rowOff>231275</xdr:rowOff>
    </xdr:from>
    <xdr:to>
      <xdr:col>1</xdr:col>
      <xdr:colOff>200066</xdr:colOff>
      <xdr:row>3</xdr:row>
      <xdr:rowOff>189446</xdr:rowOff>
    </xdr:to>
    <xdr:pic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9F7B3396-E1C2-3D35-540B-8D7A4BE57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4775" y="619895"/>
          <a:ext cx="567771" cy="567771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8</xdr:col>
      <xdr:colOff>457200</xdr:colOff>
      <xdr:row>1</xdr:row>
      <xdr:rowOff>57960</xdr:rowOff>
    </xdr:from>
    <xdr:to>
      <xdr:col>8</xdr:col>
      <xdr:colOff>1371600</xdr:colOff>
      <xdr:row>4</xdr:row>
      <xdr:rowOff>50340</xdr:rowOff>
    </xdr:to>
    <xdr:pic macro="[0]!datosDelProc">
      <xdr:nvPicPr>
        <xdr:cNvPr id="11" name="Gráfico 10" descr="Insertar datos de la Contratación&#10;">
          <a:extLst>
            <a:ext uri="{FF2B5EF4-FFF2-40B4-BE49-F238E27FC236}">
              <a16:creationId xmlns:a16="http://schemas.microsoft.com/office/drawing/2014/main" id="{6349431B-39F4-B704-FB59-8F64D4DC5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78980" y="446580"/>
          <a:ext cx="914400" cy="9144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8</xdr:col>
      <xdr:colOff>1874520</xdr:colOff>
      <xdr:row>1</xdr:row>
      <xdr:rowOff>57960</xdr:rowOff>
    </xdr:from>
    <xdr:to>
      <xdr:col>8</xdr:col>
      <xdr:colOff>2788920</xdr:colOff>
      <xdr:row>4</xdr:row>
      <xdr:rowOff>50340</xdr:rowOff>
    </xdr:to>
    <xdr:pic macro="[0]!insertarHojasDeOfertas">
      <xdr:nvPicPr>
        <xdr:cNvPr id="13" name="Gráfico 12" descr="Insignia con relleno sólido">
          <a:extLst>
            <a:ext uri="{FF2B5EF4-FFF2-40B4-BE49-F238E27FC236}">
              <a16:creationId xmlns:a16="http://schemas.microsoft.com/office/drawing/2014/main" id="{85BDE407-69A2-7819-9681-A5AD6BE42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96300" y="446580"/>
          <a:ext cx="914400" cy="9144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8</xdr:col>
      <xdr:colOff>3360420</xdr:colOff>
      <xdr:row>1</xdr:row>
      <xdr:rowOff>57960</xdr:rowOff>
    </xdr:from>
    <xdr:to>
      <xdr:col>9</xdr:col>
      <xdr:colOff>129540</xdr:colOff>
      <xdr:row>4</xdr:row>
      <xdr:rowOff>50340</xdr:rowOff>
    </xdr:to>
    <xdr:pic macro="[0]!hacerElFuckingCuadro">
      <xdr:nvPicPr>
        <xdr:cNvPr id="15" name="Gráfico 14" descr="Insignia 3 con relleno sólido">
          <a:extLst>
            <a:ext uri="{FF2B5EF4-FFF2-40B4-BE49-F238E27FC236}">
              <a16:creationId xmlns:a16="http://schemas.microsoft.com/office/drawing/2014/main" id="{D0D90D71-B4B5-12F6-F6A4-4D19A60D5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982200" y="446580"/>
          <a:ext cx="914400" cy="9144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8</xdr:col>
      <xdr:colOff>2835945</xdr:colOff>
      <xdr:row>2</xdr:row>
      <xdr:rowOff>52950</xdr:rowOff>
    </xdr:from>
    <xdr:to>
      <xdr:col>8</xdr:col>
      <xdr:colOff>3272685</xdr:colOff>
      <xdr:row>3</xdr:row>
      <xdr:rowOff>123930</xdr:rowOff>
    </xdr:to>
    <xdr:pic>
      <xdr:nvPicPr>
        <xdr:cNvPr id="19" name="Gráfico 18" descr="Flechas de cheurón con relleno sólido">
          <a:extLst>
            <a:ext uri="{FF2B5EF4-FFF2-40B4-BE49-F238E27FC236}">
              <a16:creationId xmlns:a16="http://schemas.microsoft.com/office/drawing/2014/main" id="{330EB5B8-F545-C4CA-E912-2DE104415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312945" y="685410"/>
          <a:ext cx="436740" cy="436740"/>
        </a:xfrm>
        <a:prstGeom prst="rect">
          <a:avLst/>
        </a:prstGeom>
      </xdr:spPr>
    </xdr:pic>
    <xdr:clientData/>
  </xdr:twoCellAnchor>
  <xdr:twoCellAnchor editAs="oneCell">
    <xdr:from>
      <xdr:col>8</xdr:col>
      <xdr:colOff>1389565</xdr:colOff>
      <xdr:row>2</xdr:row>
      <xdr:rowOff>1030</xdr:rowOff>
    </xdr:from>
    <xdr:to>
      <xdr:col>8</xdr:col>
      <xdr:colOff>1930145</xdr:colOff>
      <xdr:row>3</xdr:row>
      <xdr:rowOff>175850</xdr:rowOff>
    </xdr:to>
    <xdr:pic>
      <xdr:nvPicPr>
        <xdr:cNvPr id="21" name="Gráfico 20" descr="Flechas de cheurón contorno">
          <a:extLst>
            <a:ext uri="{FF2B5EF4-FFF2-40B4-BE49-F238E27FC236}">
              <a16:creationId xmlns:a16="http://schemas.microsoft.com/office/drawing/2014/main" id="{B66366B9-A1FF-C426-001D-0B14630DD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866565" y="633490"/>
          <a:ext cx="540580" cy="540580"/>
        </a:xfrm>
        <a:prstGeom prst="rect">
          <a:avLst/>
        </a:prstGeom>
      </xdr:spPr>
    </xdr:pic>
    <xdr:clientData/>
  </xdr:twoCellAnchor>
  <xdr:oneCellAnchor>
    <xdr:from>
      <xdr:col>8</xdr:col>
      <xdr:colOff>381000</xdr:colOff>
      <xdr:row>3</xdr:row>
      <xdr:rowOff>298055</xdr:rowOff>
    </xdr:from>
    <xdr:ext cx="1066800" cy="40536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F33AEFD-A12F-05F9-8555-35FDC9D25341}"/>
            </a:ext>
          </a:extLst>
        </xdr:cNvPr>
        <xdr:cNvSpPr txBox="1"/>
      </xdr:nvSpPr>
      <xdr:spPr>
        <a:xfrm>
          <a:off x="7254240" y="1296275"/>
          <a:ext cx="1066800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000"/>
            <a:t>Datos del procedimiento</a:t>
          </a:r>
        </a:p>
      </xdr:txBody>
    </xdr:sp>
    <xdr:clientData/>
  </xdr:oneCellAnchor>
  <xdr:oneCellAnchor>
    <xdr:from>
      <xdr:col>8</xdr:col>
      <xdr:colOff>1798320</xdr:colOff>
      <xdr:row>3</xdr:row>
      <xdr:rowOff>298055</xdr:rowOff>
    </xdr:from>
    <xdr:ext cx="1066800" cy="40536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C73B163A-08E3-4D60-A54E-676A1F7D1AC4}"/>
            </a:ext>
          </a:extLst>
        </xdr:cNvPr>
        <xdr:cNvSpPr txBox="1"/>
      </xdr:nvSpPr>
      <xdr:spPr>
        <a:xfrm>
          <a:off x="8671560" y="1296275"/>
          <a:ext cx="1066800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000"/>
            <a:t>Insertar Hojas de Oferta</a:t>
          </a:r>
        </a:p>
      </xdr:txBody>
    </xdr:sp>
    <xdr:clientData/>
  </xdr:oneCellAnchor>
  <xdr:oneCellAnchor>
    <xdr:from>
      <xdr:col>8</xdr:col>
      <xdr:colOff>3284220</xdr:colOff>
      <xdr:row>4</xdr:row>
      <xdr:rowOff>2496</xdr:rowOff>
    </xdr:from>
    <xdr:ext cx="1066800" cy="46807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F2F3A5A1-E70C-425B-BAE9-D902849E25E9}"/>
            </a:ext>
          </a:extLst>
        </xdr:cNvPr>
        <xdr:cNvSpPr txBox="1"/>
      </xdr:nvSpPr>
      <xdr:spPr>
        <a:xfrm>
          <a:off x="10157460" y="1313136"/>
          <a:ext cx="10668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200" b="1"/>
            <a:t>Hacer</a:t>
          </a:r>
          <a:r>
            <a:rPr lang="en-US" sz="1200"/>
            <a:t> </a:t>
          </a:r>
        </a:p>
        <a:p>
          <a:pPr algn="ctr"/>
          <a:r>
            <a:rPr lang="en-US" sz="1200" b="1"/>
            <a:t>Cuadro</a:t>
          </a:r>
        </a:p>
      </xdr:txBody>
    </xdr:sp>
    <xdr:clientData/>
  </xdr:oneCellAnchor>
  <xdr:oneCellAnchor>
    <xdr:from>
      <xdr:col>0</xdr:col>
      <xdr:colOff>175260</xdr:colOff>
      <xdr:row>3</xdr:row>
      <xdr:rowOff>153033</xdr:rowOff>
    </xdr:from>
    <xdr:ext cx="1066800" cy="5937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B34A227A-1D4A-4B63-A9DD-E7A3BA616A9B}"/>
            </a:ext>
          </a:extLst>
        </xdr:cNvPr>
        <xdr:cNvSpPr txBox="1"/>
      </xdr:nvSpPr>
      <xdr:spPr>
        <a:xfrm>
          <a:off x="175260" y="1151253"/>
          <a:ext cx="1066800" cy="5937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000" b="1">
              <a:solidFill>
                <a:srgbClr val="C00000"/>
              </a:solidFill>
            </a:rPr>
            <a:t>Hacer</a:t>
          </a:r>
          <a:r>
            <a:rPr lang="en-US" sz="1000" b="1" baseline="0">
              <a:solidFill>
                <a:srgbClr val="C00000"/>
              </a:solidFill>
            </a:rPr>
            <a:t> Cuadro Nuevo</a:t>
          </a:r>
        </a:p>
        <a:p>
          <a:pPr algn="ctr"/>
          <a:r>
            <a:rPr lang="en-US" sz="800" b="1" baseline="0">
              <a:solidFill>
                <a:srgbClr val="C00000"/>
              </a:solidFill>
            </a:rPr>
            <a:t>Reiniciar </a:t>
          </a:r>
          <a:endParaRPr lang="en-US" sz="800" b="1">
            <a:solidFill>
              <a:srgbClr val="C00000"/>
            </a:solidFill>
          </a:endParaRPr>
        </a:p>
      </xdr:txBody>
    </xdr:sp>
    <xdr:clientData/>
  </xdr:oneCellAnchor>
  <xdr:twoCellAnchor editAs="oneCell">
    <xdr:from>
      <xdr:col>8</xdr:col>
      <xdr:colOff>1005208</xdr:colOff>
      <xdr:row>2</xdr:row>
      <xdr:rowOff>347219</xdr:rowOff>
    </xdr:from>
    <xdr:to>
      <xdr:col>8</xdr:col>
      <xdr:colOff>1477435</xdr:colOff>
      <xdr:row>4</xdr:row>
      <xdr:rowOff>141266</xdr:rowOff>
    </xdr:to>
    <xdr:pic>
      <xdr:nvPicPr>
        <xdr:cNvPr id="30" name="Gráfico 29" descr="Gesto de doble toque contorno">
          <a:extLst>
            <a:ext uri="{FF2B5EF4-FFF2-40B4-BE49-F238E27FC236}">
              <a16:creationId xmlns:a16="http://schemas.microsoft.com/office/drawing/2014/main" id="{F9475578-6BA1-A9E4-EEA6-14D2982C4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9481126">
          <a:off x="7626988" y="979679"/>
          <a:ext cx="472227" cy="472227"/>
        </a:xfrm>
        <a:prstGeom prst="rect">
          <a:avLst/>
        </a:prstGeom>
      </xdr:spPr>
    </xdr:pic>
    <xdr:clientData/>
  </xdr:twoCellAnchor>
  <xdr:twoCellAnchor editAs="oneCell">
    <xdr:from>
      <xdr:col>9</xdr:col>
      <xdr:colOff>472440</xdr:colOff>
      <xdr:row>1</xdr:row>
      <xdr:rowOff>53340</xdr:rowOff>
    </xdr:from>
    <xdr:to>
      <xdr:col>10</xdr:col>
      <xdr:colOff>670560</xdr:colOff>
      <xdr:row>4</xdr:row>
      <xdr:rowOff>45720</xdr:rowOff>
    </xdr:to>
    <xdr:pic>
      <xdr:nvPicPr>
        <xdr:cNvPr id="32" name="Gráfico 31" descr="Disco con relleno sólido">
          <a:extLst>
            <a:ext uri="{FF2B5EF4-FFF2-40B4-BE49-F238E27FC236}">
              <a16:creationId xmlns:a16="http://schemas.microsoft.com/office/drawing/2014/main" id="{5ECFE26D-0A7D-5792-DFAC-2B088D373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490960" y="441960"/>
          <a:ext cx="914400" cy="914400"/>
        </a:xfrm>
        <a:prstGeom prst="rect">
          <a:avLst/>
        </a:prstGeom>
      </xdr:spPr>
    </xdr:pic>
    <xdr:clientData/>
  </xdr:twoCellAnchor>
  <xdr:oneCellAnchor>
    <xdr:from>
      <xdr:col>9</xdr:col>
      <xdr:colOff>396240</xdr:colOff>
      <xdr:row>3</xdr:row>
      <xdr:rowOff>297180</xdr:rowOff>
    </xdr:from>
    <xdr:ext cx="1066800" cy="46807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875EA74B-2DA2-4A0D-9CB0-80C53FC9001E}"/>
            </a:ext>
          </a:extLst>
        </xdr:cNvPr>
        <xdr:cNvSpPr txBox="1"/>
      </xdr:nvSpPr>
      <xdr:spPr>
        <a:xfrm>
          <a:off x="11414760" y="1295400"/>
          <a:ext cx="10668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200" b="1">
              <a:solidFill>
                <a:schemeClr val="accent6">
                  <a:lumMod val="50000"/>
                </a:schemeClr>
              </a:solidFill>
            </a:rPr>
            <a:t>Guardar </a:t>
          </a:r>
        </a:p>
        <a:p>
          <a:pPr algn="ctr"/>
          <a:r>
            <a:rPr lang="en-US" sz="1200" b="1">
              <a:solidFill>
                <a:schemeClr val="accent6">
                  <a:lumMod val="50000"/>
                </a:schemeClr>
              </a:solidFill>
            </a:rPr>
            <a:t>Cuadro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224790</xdr:colOff>
      <xdr:row>0</xdr:row>
      <xdr:rowOff>87630</xdr:rowOff>
    </xdr:from>
    <xdr:to>
      <xdr:col>6</xdr:col>
      <xdr:colOff>643890</xdr:colOff>
      <xdr:row>2</xdr:row>
      <xdr:rowOff>110490</xdr:rowOff>
    </xdr:to>
    <xdr:pic macro="[0]!inputAlt">
      <xdr:nvPicPr>
        <xdr:cNvPr id="2" name="Gráfico 1" descr="Insignia de seguir con relleno sólido">
          <a:extLst>
            <a:ext uri="{FF2B5EF4-FFF2-40B4-BE49-F238E27FC236}">
              <a16:creationId xmlns:a16="http://schemas.microsoft.com/office/drawing/2014/main" id="{99F9554F-9173-40BD-B0B8-AB46A8673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87630"/>
          <a:ext cx="419100" cy="4191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6</xdr:col>
      <xdr:colOff>533400</xdr:colOff>
      <xdr:row>0</xdr:row>
      <xdr:rowOff>144780</xdr:rowOff>
    </xdr:from>
    <xdr:to>
      <xdr:col>6</xdr:col>
      <xdr:colOff>1013460</xdr:colOff>
      <xdr:row>2</xdr:row>
      <xdr:rowOff>7620</xdr:rowOff>
    </xdr:to>
    <xdr:sp macro="[0]!inputAlt" textlink="">
      <xdr:nvSpPr>
        <xdr:cNvPr id="3" name="CuadroTexto 2">
          <a:extLst>
            <a:ext uri="{FF2B5EF4-FFF2-40B4-BE49-F238E27FC236}">
              <a16:creationId xmlns:a16="http://schemas.microsoft.com/office/drawing/2014/main" id="{9C1CB86D-3702-4B43-AD7B-0E5C1B1BE115}"/>
            </a:ext>
          </a:extLst>
        </xdr:cNvPr>
        <xdr:cNvSpPr txBox="1"/>
      </xdr:nvSpPr>
      <xdr:spPr>
        <a:xfrm>
          <a:off x="5280660" y="144780"/>
          <a:ext cx="480060" cy="25908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/>
          </a:outerShdw>
        </a:effectLst>
        <a:scene3d>
          <a:camera prst="orthographicFront"/>
          <a:lightRig rig="threePt" dir="t"/>
        </a:scene3d>
        <a:sp3d extrusionH="44450">
          <a:bevelT w="0" h="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>
                  <a:lumMod val="50000"/>
                </a:schemeClr>
              </a:solidFill>
            </a:rPr>
            <a:t>Alt</a:t>
          </a:r>
          <a:r>
            <a:rPr lang="en-US" sz="1400" b="1">
              <a:solidFill>
                <a:schemeClr val="accent6">
                  <a:lumMod val="50000"/>
                </a:schemeClr>
              </a:solidFill>
            </a:rPr>
            <a:t>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224790</xdr:colOff>
      <xdr:row>0</xdr:row>
      <xdr:rowOff>87630</xdr:rowOff>
    </xdr:from>
    <xdr:to>
      <xdr:col>6</xdr:col>
      <xdr:colOff>643890</xdr:colOff>
      <xdr:row>2</xdr:row>
      <xdr:rowOff>110490</xdr:rowOff>
    </xdr:to>
    <xdr:pic macro="[0]!inputAlt">
      <xdr:nvPicPr>
        <xdr:cNvPr id="2" name="Gráfico 1" descr="Insignia de seguir con relleno sólido">
          <a:extLst>
            <a:ext uri="{FF2B5EF4-FFF2-40B4-BE49-F238E27FC236}">
              <a16:creationId xmlns:a16="http://schemas.microsoft.com/office/drawing/2014/main" id="{6B8D4CA1-901D-45C8-A6EA-440EBC413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87630"/>
          <a:ext cx="419100" cy="4191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6</xdr:col>
      <xdr:colOff>533400</xdr:colOff>
      <xdr:row>0</xdr:row>
      <xdr:rowOff>144780</xdr:rowOff>
    </xdr:from>
    <xdr:to>
      <xdr:col>6</xdr:col>
      <xdr:colOff>1013460</xdr:colOff>
      <xdr:row>2</xdr:row>
      <xdr:rowOff>7620</xdr:rowOff>
    </xdr:to>
    <xdr:sp macro="[0]!inputAlt" textlink="">
      <xdr:nvSpPr>
        <xdr:cNvPr id="3" name="CuadroTexto 2">
          <a:extLst>
            <a:ext uri="{FF2B5EF4-FFF2-40B4-BE49-F238E27FC236}">
              <a16:creationId xmlns:a16="http://schemas.microsoft.com/office/drawing/2014/main" id="{AE9112E5-CB1A-40C5-8597-E3CC3DFC3B50}"/>
            </a:ext>
          </a:extLst>
        </xdr:cNvPr>
        <xdr:cNvSpPr txBox="1"/>
      </xdr:nvSpPr>
      <xdr:spPr>
        <a:xfrm>
          <a:off x="5280660" y="144780"/>
          <a:ext cx="480060" cy="25908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/>
          </a:outerShdw>
        </a:effectLst>
        <a:scene3d>
          <a:camera prst="orthographicFront"/>
          <a:lightRig rig="threePt" dir="t"/>
        </a:scene3d>
        <a:sp3d extrusionH="44450">
          <a:bevelT w="0" h="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>
                  <a:lumMod val="50000"/>
                </a:schemeClr>
              </a:solidFill>
            </a:rPr>
            <a:t>Alt</a:t>
          </a:r>
          <a:r>
            <a:rPr lang="en-US" sz="1400" b="1">
              <a:solidFill>
                <a:schemeClr val="accent6">
                  <a:lumMod val="50000"/>
                </a:schemeClr>
              </a:solidFill>
            </a:rPr>
            <a:t>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224790</xdr:colOff>
      <xdr:row>0</xdr:row>
      <xdr:rowOff>87630</xdr:rowOff>
    </xdr:from>
    <xdr:to>
      <xdr:col>6</xdr:col>
      <xdr:colOff>643890</xdr:colOff>
      <xdr:row>2</xdr:row>
      <xdr:rowOff>110490</xdr:rowOff>
    </xdr:to>
    <xdr:pic macro="[0]!inputAlt">
      <xdr:nvPicPr>
        <xdr:cNvPr id="2" name="Gráfico 1" descr="Insignia de seguir con relleno sólido">
          <a:extLst>
            <a:ext uri="{FF2B5EF4-FFF2-40B4-BE49-F238E27FC236}">
              <a16:creationId xmlns:a16="http://schemas.microsoft.com/office/drawing/2014/main" id="{F32F4A5E-C71D-41A4-A5C4-292D13C7E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87630"/>
          <a:ext cx="419100" cy="4191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6</xdr:col>
      <xdr:colOff>533400</xdr:colOff>
      <xdr:row>0</xdr:row>
      <xdr:rowOff>144780</xdr:rowOff>
    </xdr:from>
    <xdr:to>
      <xdr:col>6</xdr:col>
      <xdr:colOff>1013460</xdr:colOff>
      <xdr:row>2</xdr:row>
      <xdr:rowOff>7620</xdr:rowOff>
    </xdr:to>
    <xdr:sp macro="[0]!inputAlt" textlink="">
      <xdr:nvSpPr>
        <xdr:cNvPr id="3" name="CuadroTexto 2">
          <a:extLst>
            <a:ext uri="{FF2B5EF4-FFF2-40B4-BE49-F238E27FC236}">
              <a16:creationId xmlns:a16="http://schemas.microsoft.com/office/drawing/2014/main" id="{E4A27268-F387-4487-9EB0-8BF42241B967}"/>
            </a:ext>
          </a:extLst>
        </xdr:cNvPr>
        <xdr:cNvSpPr txBox="1"/>
      </xdr:nvSpPr>
      <xdr:spPr>
        <a:xfrm>
          <a:off x="5280660" y="144780"/>
          <a:ext cx="480060" cy="25908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/>
          </a:outerShdw>
        </a:effectLst>
        <a:scene3d>
          <a:camera prst="orthographicFront"/>
          <a:lightRig rig="threePt" dir="t"/>
        </a:scene3d>
        <a:sp3d extrusionH="44450">
          <a:bevelT w="0" h="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>
                  <a:lumMod val="50000"/>
                </a:schemeClr>
              </a:solidFill>
            </a:rPr>
            <a:t>Alt</a:t>
          </a:r>
          <a:r>
            <a:rPr lang="en-US" sz="1400" b="1">
              <a:solidFill>
                <a:schemeClr val="accent6">
                  <a:lumMod val="50000"/>
                </a:schemeClr>
              </a:solidFill>
            </a:rPr>
            <a:t>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224790</xdr:colOff>
      <xdr:row>0</xdr:row>
      <xdr:rowOff>87630</xdr:rowOff>
    </xdr:from>
    <xdr:to>
      <xdr:col>6</xdr:col>
      <xdr:colOff>643890</xdr:colOff>
      <xdr:row>2</xdr:row>
      <xdr:rowOff>110490</xdr:rowOff>
    </xdr:to>
    <xdr:pic macro="[0]!inputAlt">
      <xdr:nvPicPr>
        <xdr:cNvPr id="2" name="Gráfico 1" descr="Insignia de seguir con relleno sólido">
          <a:extLst>
            <a:ext uri="{FF2B5EF4-FFF2-40B4-BE49-F238E27FC236}">
              <a16:creationId xmlns:a16="http://schemas.microsoft.com/office/drawing/2014/main" id="{D6B55623-927D-4504-AD95-1E151EBBF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87630"/>
          <a:ext cx="419100" cy="4191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6</xdr:col>
      <xdr:colOff>533400</xdr:colOff>
      <xdr:row>0</xdr:row>
      <xdr:rowOff>144780</xdr:rowOff>
    </xdr:from>
    <xdr:to>
      <xdr:col>6</xdr:col>
      <xdr:colOff>1013460</xdr:colOff>
      <xdr:row>2</xdr:row>
      <xdr:rowOff>7620</xdr:rowOff>
    </xdr:to>
    <xdr:sp macro="[0]!inputAlt" textlink="">
      <xdr:nvSpPr>
        <xdr:cNvPr id="3" name="CuadroTexto 2">
          <a:extLst>
            <a:ext uri="{FF2B5EF4-FFF2-40B4-BE49-F238E27FC236}">
              <a16:creationId xmlns:a16="http://schemas.microsoft.com/office/drawing/2014/main" id="{A59C1B70-6A9F-4EF8-A9FF-3E97D9109576}"/>
            </a:ext>
          </a:extLst>
        </xdr:cNvPr>
        <xdr:cNvSpPr txBox="1"/>
      </xdr:nvSpPr>
      <xdr:spPr>
        <a:xfrm>
          <a:off x="5280660" y="144780"/>
          <a:ext cx="480060" cy="25908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/>
          </a:outerShdw>
        </a:effectLst>
        <a:scene3d>
          <a:camera prst="orthographicFront"/>
          <a:lightRig rig="threePt" dir="t"/>
        </a:scene3d>
        <a:sp3d extrusionH="44450">
          <a:bevelT w="0" h="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>
                  <a:lumMod val="50000"/>
                </a:schemeClr>
              </a:solidFill>
            </a:rPr>
            <a:t>Alt</a:t>
          </a:r>
          <a:r>
            <a:rPr lang="en-US" sz="1400" b="1">
              <a:solidFill>
                <a:schemeClr val="accent6">
                  <a:lumMod val="50000"/>
                </a:schemeClr>
              </a:solidFill>
            </a:rPr>
            <a:t>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224790</xdr:colOff>
      <xdr:row>0</xdr:row>
      <xdr:rowOff>87630</xdr:rowOff>
    </xdr:from>
    <xdr:to>
      <xdr:col>6</xdr:col>
      <xdr:colOff>643890</xdr:colOff>
      <xdr:row>2</xdr:row>
      <xdr:rowOff>110490</xdr:rowOff>
    </xdr:to>
    <xdr:pic macro="[0]!inputAlt">
      <xdr:nvPicPr>
        <xdr:cNvPr id="3" name="Gráfico 2" descr="Insignia de seguir con relleno sólid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87630"/>
          <a:ext cx="419100" cy="4191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6</xdr:col>
      <xdr:colOff>533400</xdr:colOff>
      <xdr:row>0</xdr:row>
      <xdr:rowOff>144780</xdr:rowOff>
    </xdr:from>
    <xdr:to>
      <xdr:col>6</xdr:col>
      <xdr:colOff>1013460</xdr:colOff>
      <xdr:row>2</xdr:row>
      <xdr:rowOff>7620</xdr:rowOff>
    </xdr:to>
    <xdr:sp macro="[0]!inputAlt" textlink="">
      <xdr:nvSpPr>
        <xdr:cNvPr id="2" name="CuadroTexto 1">
          <a:extLst>
            <a:ext uri="{FF2B5EF4-FFF2-40B4-BE49-F238E27FC236}">
              <a16:creationId xmlns:a16="http://schemas.microsoft.com/office/drawing/2014/main" id="{AAB56733-5503-D115-1AB1-3F926DC4C31F}"/>
            </a:ext>
          </a:extLst>
        </xdr:cNvPr>
        <xdr:cNvSpPr txBox="1"/>
      </xdr:nvSpPr>
      <xdr:spPr>
        <a:xfrm>
          <a:off x="5280660" y="144780"/>
          <a:ext cx="480060" cy="25908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/>
          </a:outerShdw>
        </a:effectLst>
        <a:scene3d>
          <a:camera prst="orthographicFront"/>
          <a:lightRig rig="threePt" dir="t"/>
        </a:scene3d>
        <a:sp3d extrusionH="44450">
          <a:bevelT w="0" h="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>
                  <a:lumMod val="50000"/>
                </a:schemeClr>
              </a:solidFill>
            </a:rPr>
            <a:t>Alt</a:t>
          </a:r>
          <a:r>
            <a:rPr lang="en-US" sz="1400" b="1">
              <a:solidFill>
                <a:schemeClr val="accent6">
                  <a:lumMod val="50000"/>
                </a:schemeClr>
              </a:solidFill>
            </a:rPr>
            <a:t>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315B21-7710-479E-81CC-263B61B6AFE2}" name="tablaProveedores" displayName="tablaProveedores" ref="B8:C12" totalsRowShown="0">
  <tableColumns count="2">
    <tableColumn id="1" xr3:uid="{E47D6AB4-E0D2-45E3-B87A-676367B754F4}" name="N° Proveedor S/Acta" dataDxfId="41"/>
    <tableColumn id="2" xr3:uid="{BC1B3B13-AEC6-43A4-AD1C-34FEE2F35DA4}" name="↓ Ingrese Nombre Proveedor S/Acta" dataDxfId="38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AF6C1-420F-43C8-9C50-3ACA3590A1E7}" name="tablaRenglones" displayName="tablaRenglones" ref="G8:J13" totalsRowShown="0" headerRowDxfId="40">
  <tableColumns count="4">
    <tableColumn id="1" xr3:uid="{812797EF-A02A-4336-A1AB-3F37ABB3B1BD}" name="N° Orden" dataDxfId="39"/>
    <tableColumn id="5" xr3:uid="{57125FC4-56D7-4220-A839-BABD42BA7EC4}" name="N° renglon" dataDxfId="37"/>
    <tableColumn id="2" xr3:uid="{653522FB-B38C-4937-A3AD-F78BA25DDECA}" name="Detalle ↓ Ingrese la descripcion según pliego" dataDxfId="36"/>
    <tableColumn id="3" xr3:uid="{FF470F2B-A987-4270-A397-011CE2C09CD5}" name=" Cant. Solicitada S/Pliego" dataDxfId="3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roProv">
    <tabColor theme="9" tint="0.59999389629810485"/>
  </sheetPr>
  <dimension ref="B1:J24"/>
  <sheetViews>
    <sheetView showGridLines="0" showRowColHeaders="0" tabSelected="1" workbookViewId="0">
      <selection activeCell="H4" sqref="H4"/>
    </sheetView>
  </sheetViews>
  <sheetFormatPr baseColWidth="10" defaultColWidth="8.88671875" defaultRowHeight="14.4" x14ac:dyDescent="0.3"/>
  <cols>
    <col min="1" max="1" width="11.5546875" customWidth="1"/>
    <col min="2" max="2" width="8.88671875" customWidth="1"/>
    <col min="3" max="3" width="36" customWidth="1"/>
    <col min="4" max="4" width="8.88671875" style="1"/>
    <col min="5" max="5" width="7.21875" customWidth="1"/>
    <col min="7" max="7" width="9.88671875" customWidth="1"/>
    <col min="9" max="9" width="60.44140625" customWidth="1"/>
    <col min="10" max="10" width="10.44140625" customWidth="1"/>
    <col min="11" max="11" width="36.21875" customWidth="1"/>
  </cols>
  <sheetData>
    <row r="1" spans="2:10" ht="30.6" customHeight="1" x14ac:dyDescent="0.45">
      <c r="B1" s="69" t="s">
        <v>61</v>
      </c>
    </row>
    <row r="2" spans="2:10" ht="19.2" customHeight="1" x14ac:dyDescent="0.3"/>
    <row r="3" spans="2:10" ht="28.8" x14ac:dyDescent="0.3">
      <c r="C3" s="65" t="s">
        <v>32</v>
      </c>
      <c r="D3" s="66" t="s">
        <v>4</v>
      </c>
      <c r="E3" s="66" t="s">
        <v>3</v>
      </c>
      <c r="F3" s="66" t="s">
        <v>5</v>
      </c>
      <c r="G3" s="66" t="s">
        <v>56</v>
      </c>
      <c r="H3" s="66" t="s">
        <v>57</v>
      </c>
    </row>
    <row r="4" spans="2:10" ht="24.6" customHeight="1" x14ac:dyDescent="0.3">
      <c r="C4" s="67" t="s">
        <v>65</v>
      </c>
      <c r="D4" s="67" t="s">
        <v>33</v>
      </c>
      <c r="E4" s="67">
        <v>196</v>
      </c>
      <c r="F4" s="67">
        <v>2022</v>
      </c>
      <c r="G4" s="67">
        <v>5</v>
      </c>
      <c r="H4" s="67">
        <v>4</v>
      </c>
    </row>
    <row r="6" spans="2:10" ht="22.2" customHeight="1" x14ac:dyDescent="0.3"/>
    <row r="7" spans="2:10" ht="21" x14ac:dyDescent="0.4">
      <c r="B7" s="64" t="s">
        <v>55</v>
      </c>
      <c r="C7" s="55"/>
      <c r="G7" s="64" t="s">
        <v>58</v>
      </c>
      <c r="H7" s="55"/>
      <c r="I7" s="55"/>
      <c r="J7" s="55"/>
    </row>
    <row r="8" spans="2:10" ht="49.2" customHeight="1" x14ac:dyDescent="0.3">
      <c r="B8" s="2" t="s">
        <v>0</v>
      </c>
      <c r="C8" s="1" t="s">
        <v>59</v>
      </c>
      <c r="G8" s="2" t="s">
        <v>42</v>
      </c>
      <c r="H8" s="2" t="s">
        <v>1</v>
      </c>
      <c r="I8" s="2" t="s">
        <v>60</v>
      </c>
      <c r="J8" s="2" t="s">
        <v>66</v>
      </c>
    </row>
    <row r="9" spans="2:10" x14ac:dyDescent="0.3">
      <c r="B9" s="53">
        <v>1</v>
      </c>
      <c r="C9" s="95" t="s">
        <v>34</v>
      </c>
      <c r="G9" s="74">
        <v>1</v>
      </c>
      <c r="H9" s="96">
        <v>6</v>
      </c>
      <c r="I9" s="97" t="s">
        <v>37</v>
      </c>
      <c r="J9" s="95">
        <v>60</v>
      </c>
    </row>
    <row r="10" spans="2:10" x14ac:dyDescent="0.3">
      <c r="B10" s="53">
        <v>2</v>
      </c>
      <c r="C10" s="95" t="s">
        <v>35</v>
      </c>
      <c r="G10" s="74">
        <v>2</v>
      </c>
      <c r="H10" s="96">
        <v>8</v>
      </c>
      <c r="I10" s="97" t="s">
        <v>38</v>
      </c>
      <c r="J10" s="95">
        <v>35</v>
      </c>
    </row>
    <row r="11" spans="2:10" x14ac:dyDescent="0.3">
      <c r="B11" s="53">
        <v>3</v>
      </c>
      <c r="C11" s="95" t="s">
        <v>36</v>
      </c>
      <c r="G11" s="74">
        <v>3</v>
      </c>
      <c r="H11" s="96">
        <v>29</v>
      </c>
      <c r="I11" s="97" t="s">
        <v>39</v>
      </c>
      <c r="J11" s="95">
        <v>800</v>
      </c>
    </row>
    <row r="12" spans="2:10" x14ac:dyDescent="0.3">
      <c r="B12" s="53">
        <v>4</v>
      </c>
      <c r="C12" s="95" t="s">
        <v>43</v>
      </c>
      <c r="G12" s="74">
        <v>4</v>
      </c>
      <c r="H12" s="96">
        <v>30</v>
      </c>
      <c r="I12" s="97" t="s">
        <v>40</v>
      </c>
      <c r="J12" s="95">
        <v>800</v>
      </c>
    </row>
    <row r="13" spans="2:10" x14ac:dyDescent="0.3">
      <c r="G13" s="74">
        <v>5</v>
      </c>
      <c r="H13" s="96">
        <v>31</v>
      </c>
      <c r="I13" s="97" t="s">
        <v>41</v>
      </c>
      <c r="J13" s="95">
        <v>300</v>
      </c>
    </row>
    <row r="21" spans="4:4" x14ac:dyDescent="0.3">
      <c r="D21"/>
    </row>
    <row r="22" spans="4:4" x14ac:dyDescent="0.3">
      <c r="D22"/>
    </row>
    <row r="23" spans="4:4" x14ac:dyDescent="0.3">
      <c r="D23"/>
    </row>
    <row r="24" spans="4:4" x14ac:dyDescent="0.3">
      <c r="D24"/>
    </row>
  </sheetData>
  <sheetProtection sheet="1" objects="1" scenarios="1" selectLockedCells="1"/>
  <dataConsolidate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F951C-7BA3-4680-A5A2-39294AEE908C}">
  <sheetPr codeName="modOferta4"/>
  <dimension ref="A1:I9"/>
  <sheetViews>
    <sheetView showGridLines="0" workbookViewId="0">
      <selection activeCell="D6" sqref="D6"/>
    </sheetView>
  </sheetViews>
  <sheetFormatPr baseColWidth="10" defaultRowHeight="14.4" x14ac:dyDescent="0.3"/>
  <cols>
    <col min="1" max="3" width="5.88671875" customWidth="1"/>
    <col min="4" max="5" width="16.77734375" customWidth="1"/>
    <col min="6" max="6" width="18" customWidth="1"/>
    <col min="7" max="7" width="26.44140625" customWidth="1"/>
    <col min="8" max="8" width="14.109375" customWidth="1"/>
    <col min="9" max="9" width="40.109375" customWidth="1"/>
  </cols>
  <sheetData>
    <row r="1" spans="1:9" ht="16.05" customHeight="1" x14ac:dyDescent="0.3">
      <c r="A1" s="86">
        <v>1</v>
      </c>
      <c r="B1" s="87" t="s">
        <v>34</v>
      </c>
      <c r="C1" s="87"/>
      <c r="D1" s="87"/>
      <c r="E1" s="87"/>
      <c r="F1" s="87"/>
      <c r="H1" s="54" t="s">
        <v>51</v>
      </c>
      <c r="I1" s="91"/>
    </row>
    <row r="2" spans="1:9" ht="16.05" customHeight="1" x14ac:dyDescent="0.3">
      <c r="A2" s="86"/>
      <c r="B2" s="87"/>
      <c r="C2" s="87"/>
      <c r="D2" s="87"/>
      <c r="E2" s="87"/>
      <c r="F2" s="87"/>
      <c r="H2" s="54" t="s">
        <v>52</v>
      </c>
      <c r="I2" s="91"/>
    </row>
    <row r="3" spans="1:9" ht="16.05" customHeight="1" x14ac:dyDescent="0.3">
      <c r="A3" s="86"/>
      <c r="B3" s="87"/>
      <c r="C3" s="87"/>
      <c r="D3" s="87"/>
      <c r="E3" s="87"/>
      <c r="F3" s="87"/>
      <c r="H3" s="54" t="s">
        <v>53</v>
      </c>
      <c r="I3" s="91"/>
    </row>
    <row r="4" spans="1:9" ht="43.2" x14ac:dyDescent="0.3">
      <c r="A4" s="56" t="s">
        <v>54</v>
      </c>
      <c r="B4" s="57" t="s">
        <v>44</v>
      </c>
      <c r="C4" s="57" t="s">
        <v>45</v>
      </c>
      <c r="D4" s="57" t="s">
        <v>46</v>
      </c>
      <c r="E4" s="58" t="s">
        <v>47</v>
      </c>
      <c r="F4" s="58" t="s">
        <v>48</v>
      </c>
      <c r="G4" s="57" t="s">
        <v>49</v>
      </c>
      <c r="H4" s="57" t="s">
        <v>50</v>
      </c>
      <c r="I4" s="59" t="s">
        <v>2</v>
      </c>
    </row>
    <row r="5" spans="1:9" ht="20.399999999999999" customHeight="1" x14ac:dyDescent="0.3">
      <c r="A5" s="72">
        <v>1</v>
      </c>
      <c r="B5" s="60">
        <v>6</v>
      </c>
      <c r="C5" s="60"/>
      <c r="D5" s="88"/>
      <c r="E5" s="89"/>
      <c r="F5" s="70">
        <f>D5 * E5</f>
        <v>0</v>
      </c>
      <c r="G5" s="90"/>
      <c r="H5" s="60">
        <v>60</v>
      </c>
      <c r="I5" s="61" t="s">
        <v>37</v>
      </c>
    </row>
    <row r="6" spans="1:9" ht="20.399999999999999" customHeight="1" x14ac:dyDescent="0.3">
      <c r="A6" s="73">
        <v>2</v>
      </c>
      <c r="B6" s="62">
        <v>8</v>
      </c>
      <c r="C6" s="62"/>
      <c r="D6" s="92"/>
      <c r="E6" s="93"/>
      <c r="F6" s="71">
        <f>D6 * E6</f>
        <v>0</v>
      </c>
      <c r="G6" s="94"/>
      <c r="H6" s="62">
        <v>35</v>
      </c>
      <c r="I6" s="63" t="s">
        <v>38</v>
      </c>
    </row>
    <row r="7" spans="1:9" ht="20.399999999999999" customHeight="1" x14ac:dyDescent="0.3">
      <c r="A7" s="73">
        <v>3</v>
      </c>
      <c r="B7" s="62">
        <v>29</v>
      </c>
      <c r="C7" s="62"/>
      <c r="D7" s="92"/>
      <c r="E7" s="93"/>
      <c r="F7" s="71">
        <f>D7 * E7</f>
        <v>0</v>
      </c>
      <c r="G7" s="94"/>
      <c r="H7" s="62">
        <v>800</v>
      </c>
      <c r="I7" s="63" t="s">
        <v>39</v>
      </c>
    </row>
    <row r="8" spans="1:9" ht="20.399999999999999" customHeight="1" x14ac:dyDescent="0.3">
      <c r="A8" s="73">
        <v>4</v>
      </c>
      <c r="B8" s="62">
        <v>30</v>
      </c>
      <c r="C8" s="62"/>
      <c r="D8" s="92"/>
      <c r="E8" s="93"/>
      <c r="F8" s="71">
        <f>D8 * E8</f>
        <v>0</v>
      </c>
      <c r="G8" s="94"/>
      <c r="H8" s="62">
        <v>800</v>
      </c>
      <c r="I8" s="63" t="s">
        <v>40</v>
      </c>
    </row>
    <row r="9" spans="1:9" ht="20.399999999999999" customHeight="1" x14ac:dyDescent="0.3">
      <c r="A9" s="73">
        <v>5</v>
      </c>
      <c r="B9" s="62">
        <v>31</v>
      </c>
      <c r="C9" s="62"/>
      <c r="D9" s="92"/>
      <c r="E9" s="93"/>
      <c r="F9" s="71">
        <f>D9 * E9</f>
        <v>0</v>
      </c>
      <c r="G9" s="94"/>
      <c r="H9" s="62">
        <v>300</v>
      </c>
      <c r="I9" s="63" t="s">
        <v>41</v>
      </c>
    </row>
  </sheetData>
  <sheetProtection sheet="1" scenarios="1" selectLockedCells="1"/>
  <mergeCells count="2">
    <mergeCell ref="A1:A3"/>
    <mergeCell ref="B1:F3"/>
  </mergeCells>
  <conditionalFormatting sqref="I1:I3">
    <cfRule type="expression" dxfId="34" priority="7">
      <formula>I1=""</formula>
    </cfRule>
  </conditionalFormatting>
  <conditionalFormatting sqref="D5:D9">
    <cfRule type="expression" dxfId="33" priority="2">
      <formula>+AND(D5&lt;&gt;"",NOT(ISNUMBER(D5)))</formula>
    </cfRule>
    <cfRule type="expression" dxfId="32" priority="6">
      <formula>AND(E5&lt;&gt;"",D5="")</formula>
    </cfRule>
  </conditionalFormatting>
  <conditionalFormatting sqref="E5:E9">
    <cfRule type="expression" dxfId="31" priority="3">
      <formula>+AND(E5&lt;&gt;"",NOT(ISNUMBER(E5)))</formula>
    </cfRule>
    <cfRule type="expression" dxfId="30" priority="5">
      <formula>AND(D5&lt;&gt;"",E5="")</formula>
    </cfRule>
  </conditionalFormatting>
  <conditionalFormatting sqref="A5:A9">
    <cfRule type="expression" dxfId="29" priority="1">
      <formula>OR(AND(D5&lt;&gt;"",NOT(ISNUMBER(D5))),AND(E5&lt;&gt;"",NOT(ISNUMBER(E5))))</formula>
    </cfRule>
    <cfRule type="expression" dxfId="28" priority="4">
      <formula>AND(D5&lt;&gt;"",E5&lt;&gt;"")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002C-2118-4A6E-97DD-0063CF6C9978}">
  <sheetPr codeName="modOferta3"/>
  <dimension ref="A1:I9"/>
  <sheetViews>
    <sheetView showGridLines="0" workbookViewId="0">
      <selection activeCell="I1" sqref="I1"/>
    </sheetView>
  </sheetViews>
  <sheetFormatPr baseColWidth="10" defaultRowHeight="14.4" x14ac:dyDescent="0.3"/>
  <cols>
    <col min="1" max="3" width="5.88671875" customWidth="1"/>
    <col min="4" max="5" width="16.77734375" customWidth="1"/>
    <col min="6" max="6" width="18" customWidth="1"/>
    <col min="7" max="7" width="26.44140625" customWidth="1"/>
    <col min="8" max="8" width="14.109375" customWidth="1"/>
    <col min="9" max="9" width="40.109375" customWidth="1"/>
  </cols>
  <sheetData>
    <row r="1" spans="1:9" ht="16.05" customHeight="1" x14ac:dyDescent="0.3">
      <c r="A1" s="86">
        <v>2</v>
      </c>
      <c r="B1" s="87" t="s">
        <v>35</v>
      </c>
      <c r="C1" s="87"/>
      <c r="D1" s="87"/>
      <c r="E1" s="87"/>
      <c r="F1" s="87"/>
      <c r="H1" s="54" t="s">
        <v>51</v>
      </c>
      <c r="I1" s="91"/>
    </row>
    <row r="2" spans="1:9" ht="16.05" customHeight="1" x14ac:dyDescent="0.3">
      <c r="A2" s="86"/>
      <c r="B2" s="87"/>
      <c r="C2" s="87"/>
      <c r="D2" s="87"/>
      <c r="E2" s="87"/>
      <c r="F2" s="87"/>
      <c r="H2" s="54" t="s">
        <v>52</v>
      </c>
      <c r="I2" s="91"/>
    </row>
    <row r="3" spans="1:9" ht="16.05" customHeight="1" x14ac:dyDescent="0.3">
      <c r="A3" s="86"/>
      <c r="B3" s="87"/>
      <c r="C3" s="87"/>
      <c r="D3" s="87"/>
      <c r="E3" s="87"/>
      <c r="F3" s="87"/>
      <c r="H3" s="54" t="s">
        <v>53</v>
      </c>
      <c r="I3" s="91"/>
    </row>
    <row r="4" spans="1:9" ht="43.2" x14ac:dyDescent="0.3">
      <c r="A4" s="56" t="s">
        <v>54</v>
      </c>
      <c r="B4" s="57" t="s">
        <v>44</v>
      </c>
      <c r="C4" s="57" t="s">
        <v>45</v>
      </c>
      <c r="D4" s="57" t="s">
        <v>46</v>
      </c>
      <c r="E4" s="58" t="s">
        <v>47</v>
      </c>
      <c r="F4" s="58" t="s">
        <v>48</v>
      </c>
      <c r="G4" s="57" t="s">
        <v>49</v>
      </c>
      <c r="H4" s="57" t="s">
        <v>50</v>
      </c>
      <c r="I4" s="59" t="s">
        <v>2</v>
      </c>
    </row>
    <row r="5" spans="1:9" ht="20.399999999999999" customHeight="1" x14ac:dyDescent="0.3">
      <c r="A5" s="72">
        <v>1</v>
      </c>
      <c r="B5" s="60">
        <v>6</v>
      </c>
      <c r="C5" s="60"/>
      <c r="D5" s="88"/>
      <c r="E5" s="89"/>
      <c r="F5" s="70">
        <f>D5 * E5</f>
        <v>0</v>
      </c>
      <c r="G5" s="90"/>
      <c r="H5" s="60">
        <v>60</v>
      </c>
      <c r="I5" s="61" t="s">
        <v>37</v>
      </c>
    </row>
    <row r="6" spans="1:9" ht="20.399999999999999" customHeight="1" x14ac:dyDescent="0.3">
      <c r="A6" s="73">
        <v>2</v>
      </c>
      <c r="B6" s="62">
        <v>8</v>
      </c>
      <c r="C6" s="62"/>
      <c r="D6" s="92"/>
      <c r="E6" s="93"/>
      <c r="F6" s="71">
        <f>D6 * E6</f>
        <v>0</v>
      </c>
      <c r="G6" s="94"/>
      <c r="H6" s="62">
        <v>35</v>
      </c>
      <c r="I6" s="63" t="s">
        <v>38</v>
      </c>
    </row>
    <row r="7" spans="1:9" ht="20.399999999999999" customHeight="1" x14ac:dyDescent="0.3">
      <c r="A7" s="73">
        <v>3</v>
      </c>
      <c r="B7" s="62">
        <v>29</v>
      </c>
      <c r="C7" s="62"/>
      <c r="D7" s="92"/>
      <c r="E7" s="93"/>
      <c r="F7" s="71">
        <f>D7 * E7</f>
        <v>0</v>
      </c>
      <c r="G7" s="94"/>
      <c r="H7" s="62">
        <v>800</v>
      </c>
      <c r="I7" s="63" t="s">
        <v>39</v>
      </c>
    </row>
    <row r="8" spans="1:9" ht="20.399999999999999" customHeight="1" x14ac:dyDescent="0.3">
      <c r="A8" s="73">
        <v>4</v>
      </c>
      <c r="B8" s="62">
        <v>30</v>
      </c>
      <c r="C8" s="62"/>
      <c r="D8" s="92"/>
      <c r="E8" s="93"/>
      <c r="F8" s="71">
        <f>D8 * E8</f>
        <v>0</v>
      </c>
      <c r="G8" s="94"/>
      <c r="H8" s="62">
        <v>800</v>
      </c>
      <c r="I8" s="63" t="s">
        <v>40</v>
      </c>
    </row>
    <row r="9" spans="1:9" ht="20.399999999999999" customHeight="1" x14ac:dyDescent="0.3">
      <c r="A9" s="73">
        <v>5</v>
      </c>
      <c r="B9" s="62">
        <v>31</v>
      </c>
      <c r="C9" s="62"/>
      <c r="D9" s="92"/>
      <c r="E9" s="93"/>
      <c r="F9" s="71">
        <f>D9 * E9</f>
        <v>0</v>
      </c>
      <c r="G9" s="94"/>
      <c r="H9" s="62">
        <v>300</v>
      </c>
      <c r="I9" s="63" t="s">
        <v>41</v>
      </c>
    </row>
  </sheetData>
  <sheetProtection sheet="1" scenarios="1" selectLockedCells="1"/>
  <mergeCells count="2">
    <mergeCell ref="A1:A3"/>
    <mergeCell ref="B1:F3"/>
  </mergeCells>
  <conditionalFormatting sqref="I1:I3">
    <cfRule type="expression" dxfId="27" priority="7">
      <formula>I1=""</formula>
    </cfRule>
  </conditionalFormatting>
  <conditionalFormatting sqref="D5:D9">
    <cfRule type="expression" dxfId="26" priority="2">
      <formula>+AND(D5&lt;&gt;"",NOT(ISNUMBER(D5)))</formula>
    </cfRule>
    <cfRule type="expression" dxfId="25" priority="6">
      <formula>AND(E5&lt;&gt;"",D5="")</formula>
    </cfRule>
  </conditionalFormatting>
  <conditionalFormatting sqref="E5:E9">
    <cfRule type="expression" dxfId="24" priority="3">
      <formula>+AND(E5&lt;&gt;"",NOT(ISNUMBER(E5)))</formula>
    </cfRule>
    <cfRule type="expression" dxfId="23" priority="5">
      <formula>AND(D5&lt;&gt;"",E5="")</formula>
    </cfRule>
  </conditionalFormatting>
  <conditionalFormatting sqref="A5:A9">
    <cfRule type="expression" dxfId="22" priority="1">
      <formula>OR(AND(D5&lt;&gt;"",NOT(ISNUMBER(D5))),AND(E5&lt;&gt;"",NOT(ISNUMBER(E5))))</formula>
    </cfRule>
    <cfRule type="expression" dxfId="21" priority="4">
      <formula>AND(D5&lt;&gt;"",E5&lt;&gt;"")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67C2-416C-4044-9AFD-82A16665EB58}">
  <sheetPr codeName="modOferta2"/>
  <dimension ref="A1:I9"/>
  <sheetViews>
    <sheetView showGridLines="0" workbookViewId="0">
      <selection activeCell="I1" sqref="I1"/>
    </sheetView>
  </sheetViews>
  <sheetFormatPr baseColWidth="10" defaultRowHeight="14.4" x14ac:dyDescent="0.3"/>
  <cols>
    <col min="1" max="3" width="5.88671875" customWidth="1"/>
    <col min="4" max="5" width="16.77734375" customWidth="1"/>
    <col min="6" max="6" width="18" customWidth="1"/>
    <col min="7" max="7" width="26.44140625" customWidth="1"/>
    <col min="8" max="8" width="14.109375" customWidth="1"/>
    <col min="9" max="9" width="40.109375" customWidth="1"/>
  </cols>
  <sheetData>
    <row r="1" spans="1:9" ht="16.05" customHeight="1" x14ac:dyDescent="0.3">
      <c r="A1" s="86">
        <v>3</v>
      </c>
      <c r="B1" s="87" t="s">
        <v>36</v>
      </c>
      <c r="C1" s="87"/>
      <c r="D1" s="87"/>
      <c r="E1" s="87"/>
      <c r="F1" s="87"/>
      <c r="H1" s="54" t="s">
        <v>51</v>
      </c>
      <c r="I1" s="91"/>
    </row>
    <row r="2" spans="1:9" ht="16.05" customHeight="1" x14ac:dyDescent="0.3">
      <c r="A2" s="86"/>
      <c r="B2" s="87"/>
      <c r="C2" s="87"/>
      <c r="D2" s="87"/>
      <c r="E2" s="87"/>
      <c r="F2" s="87"/>
      <c r="H2" s="54" t="s">
        <v>52</v>
      </c>
      <c r="I2" s="91"/>
    </row>
    <row r="3" spans="1:9" ht="16.05" customHeight="1" x14ac:dyDescent="0.3">
      <c r="A3" s="86"/>
      <c r="B3" s="87"/>
      <c r="C3" s="87"/>
      <c r="D3" s="87"/>
      <c r="E3" s="87"/>
      <c r="F3" s="87"/>
      <c r="H3" s="54" t="s">
        <v>53</v>
      </c>
      <c r="I3" s="91"/>
    </row>
    <row r="4" spans="1:9" ht="43.2" x14ac:dyDescent="0.3">
      <c r="A4" s="56" t="s">
        <v>54</v>
      </c>
      <c r="B4" s="57" t="s">
        <v>44</v>
      </c>
      <c r="C4" s="57" t="s">
        <v>45</v>
      </c>
      <c r="D4" s="57" t="s">
        <v>46</v>
      </c>
      <c r="E4" s="58" t="s">
        <v>47</v>
      </c>
      <c r="F4" s="58" t="s">
        <v>48</v>
      </c>
      <c r="G4" s="57" t="s">
        <v>49</v>
      </c>
      <c r="H4" s="57" t="s">
        <v>50</v>
      </c>
      <c r="I4" s="59" t="s">
        <v>2</v>
      </c>
    </row>
    <row r="5" spans="1:9" ht="20.399999999999999" customHeight="1" x14ac:dyDescent="0.3">
      <c r="A5" s="72">
        <v>1</v>
      </c>
      <c r="B5" s="60">
        <v>6</v>
      </c>
      <c r="C5" s="60"/>
      <c r="D5" s="88"/>
      <c r="E5" s="89"/>
      <c r="F5" s="70">
        <f>D5 * E5</f>
        <v>0</v>
      </c>
      <c r="G5" s="90"/>
      <c r="H5" s="60">
        <v>60</v>
      </c>
      <c r="I5" s="61" t="s">
        <v>37</v>
      </c>
    </row>
    <row r="6" spans="1:9" ht="20.399999999999999" customHeight="1" x14ac:dyDescent="0.3">
      <c r="A6" s="73">
        <v>2</v>
      </c>
      <c r="B6" s="62">
        <v>8</v>
      </c>
      <c r="C6" s="62"/>
      <c r="D6" s="92"/>
      <c r="E6" s="93"/>
      <c r="F6" s="71">
        <f>D6 * E6</f>
        <v>0</v>
      </c>
      <c r="G6" s="94"/>
      <c r="H6" s="62">
        <v>35</v>
      </c>
      <c r="I6" s="63" t="s">
        <v>38</v>
      </c>
    </row>
    <row r="7" spans="1:9" ht="20.399999999999999" customHeight="1" x14ac:dyDescent="0.3">
      <c r="A7" s="73">
        <v>3</v>
      </c>
      <c r="B7" s="62">
        <v>29</v>
      </c>
      <c r="C7" s="62"/>
      <c r="D7" s="92"/>
      <c r="E7" s="93"/>
      <c r="F7" s="71">
        <f>D7 * E7</f>
        <v>0</v>
      </c>
      <c r="G7" s="94"/>
      <c r="H7" s="62">
        <v>800</v>
      </c>
      <c r="I7" s="63" t="s">
        <v>39</v>
      </c>
    </row>
    <row r="8" spans="1:9" ht="20.399999999999999" customHeight="1" x14ac:dyDescent="0.3">
      <c r="A8" s="73">
        <v>4</v>
      </c>
      <c r="B8" s="62">
        <v>30</v>
      </c>
      <c r="C8" s="62"/>
      <c r="D8" s="92"/>
      <c r="E8" s="93"/>
      <c r="F8" s="71">
        <f>D8 * E8</f>
        <v>0</v>
      </c>
      <c r="G8" s="94"/>
      <c r="H8" s="62">
        <v>800</v>
      </c>
      <c r="I8" s="63" t="s">
        <v>40</v>
      </c>
    </row>
    <row r="9" spans="1:9" ht="20.399999999999999" customHeight="1" x14ac:dyDescent="0.3">
      <c r="A9" s="73">
        <v>5</v>
      </c>
      <c r="B9" s="62">
        <v>31</v>
      </c>
      <c r="C9" s="62"/>
      <c r="D9" s="92"/>
      <c r="E9" s="93"/>
      <c r="F9" s="71">
        <f>D9 * E9</f>
        <v>0</v>
      </c>
      <c r="G9" s="94"/>
      <c r="H9" s="62">
        <v>300</v>
      </c>
      <c r="I9" s="63" t="s">
        <v>41</v>
      </c>
    </row>
  </sheetData>
  <sheetProtection sheet="1" scenarios="1" selectLockedCells="1"/>
  <mergeCells count="2">
    <mergeCell ref="A1:A3"/>
    <mergeCell ref="B1:F3"/>
  </mergeCells>
  <conditionalFormatting sqref="I1:I3">
    <cfRule type="expression" dxfId="20" priority="7">
      <formula>I1=""</formula>
    </cfRule>
  </conditionalFormatting>
  <conditionalFormatting sqref="D5:D9">
    <cfRule type="expression" dxfId="19" priority="2">
      <formula>+AND(D5&lt;&gt;"",NOT(ISNUMBER(D5)))</formula>
    </cfRule>
    <cfRule type="expression" dxfId="18" priority="6">
      <formula>AND(E5&lt;&gt;"",D5="")</formula>
    </cfRule>
  </conditionalFormatting>
  <conditionalFormatting sqref="E5:E9">
    <cfRule type="expression" dxfId="17" priority="3">
      <formula>+AND(E5&lt;&gt;"",NOT(ISNUMBER(E5)))</formula>
    </cfRule>
    <cfRule type="expression" dxfId="16" priority="5">
      <formula>AND(D5&lt;&gt;"",E5="")</formula>
    </cfRule>
  </conditionalFormatting>
  <conditionalFormatting sqref="A5:A9">
    <cfRule type="expression" dxfId="15" priority="1">
      <formula>OR(AND(D5&lt;&gt;"",NOT(ISNUMBER(D5))),AND(E5&lt;&gt;"",NOT(ISNUMBER(E5))))</formula>
    </cfRule>
    <cfRule type="expression" dxfId="14" priority="4">
      <formula>AND(D5&lt;&gt;"",E5&lt;&gt;"")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3D33-6AA8-4B37-AF44-1CC708B883F5}">
  <sheetPr codeName="modOferta1"/>
  <dimension ref="A1:I9"/>
  <sheetViews>
    <sheetView showGridLines="0" workbookViewId="0">
      <selection activeCell="D6" sqref="D6"/>
    </sheetView>
  </sheetViews>
  <sheetFormatPr baseColWidth="10" defaultRowHeight="14.4" x14ac:dyDescent="0.3"/>
  <cols>
    <col min="1" max="3" width="5.88671875" customWidth="1"/>
    <col min="4" max="5" width="16.77734375" customWidth="1"/>
    <col min="6" max="6" width="18" customWidth="1"/>
    <col min="7" max="7" width="26.44140625" customWidth="1"/>
    <col min="8" max="8" width="14.109375" customWidth="1"/>
    <col min="9" max="9" width="40.109375" customWidth="1"/>
  </cols>
  <sheetData>
    <row r="1" spans="1:9" ht="16.05" customHeight="1" x14ac:dyDescent="0.3">
      <c r="A1" s="86">
        <v>4</v>
      </c>
      <c r="B1" s="87" t="s">
        <v>43</v>
      </c>
      <c r="C1" s="87"/>
      <c r="D1" s="87"/>
      <c r="E1" s="87"/>
      <c r="F1" s="87"/>
      <c r="H1" s="54" t="s">
        <v>51</v>
      </c>
      <c r="I1" s="91"/>
    </row>
    <row r="2" spans="1:9" ht="16.05" customHeight="1" x14ac:dyDescent="0.3">
      <c r="A2" s="86"/>
      <c r="B2" s="87"/>
      <c r="C2" s="87"/>
      <c r="D2" s="87"/>
      <c r="E2" s="87"/>
      <c r="F2" s="87"/>
      <c r="H2" s="54" t="s">
        <v>52</v>
      </c>
      <c r="I2" s="91"/>
    </row>
    <row r="3" spans="1:9" ht="16.05" customHeight="1" x14ac:dyDescent="0.3">
      <c r="A3" s="86"/>
      <c r="B3" s="87"/>
      <c r="C3" s="87"/>
      <c r="D3" s="87"/>
      <c r="E3" s="87"/>
      <c r="F3" s="87"/>
      <c r="H3" s="54" t="s">
        <v>53</v>
      </c>
      <c r="I3" s="91"/>
    </row>
    <row r="4" spans="1:9" ht="43.2" x14ac:dyDescent="0.3">
      <c r="A4" s="56" t="s">
        <v>54</v>
      </c>
      <c r="B4" s="57" t="s">
        <v>44</v>
      </c>
      <c r="C4" s="57" t="s">
        <v>45</v>
      </c>
      <c r="D4" s="57" t="s">
        <v>46</v>
      </c>
      <c r="E4" s="58" t="s">
        <v>47</v>
      </c>
      <c r="F4" s="58" t="s">
        <v>48</v>
      </c>
      <c r="G4" s="57" t="s">
        <v>49</v>
      </c>
      <c r="H4" s="57" t="s">
        <v>50</v>
      </c>
      <c r="I4" s="59" t="s">
        <v>2</v>
      </c>
    </row>
    <row r="5" spans="1:9" ht="20.399999999999999" customHeight="1" x14ac:dyDescent="0.3">
      <c r="A5" s="72">
        <v>1</v>
      </c>
      <c r="B5" s="60">
        <v>6</v>
      </c>
      <c r="C5" s="60"/>
      <c r="D5" s="88"/>
      <c r="E5" s="89"/>
      <c r="F5" s="70">
        <f>D5 * E5</f>
        <v>0</v>
      </c>
      <c r="G5" s="90"/>
      <c r="H5" s="60">
        <v>60</v>
      </c>
      <c r="I5" s="61" t="s">
        <v>37</v>
      </c>
    </row>
    <row r="6" spans="1:9" ht="20.399999999999999" customHeight="1" x14ac:dyDescent="0.3">
      <c r="A6" s="73">
        <v>2</v>
      </c>
      <c r="B6" s="62">
        <v>8</v>
      </c>
      <c r="C6" s="62"/>
      <c r="D6" s="92">
        <v>1</v>
      </c>
      <c r="E6" s="93">
        <v>7</v>
      </c>
      <c r="F6" s="71">
        <f>D6 * E6</f>
        <v>7</v>
      </c>
      <c r="G6" s="94"/>
      <c r="H6" s="62">
        <v>35</v>
      </c>
      <c r="I6" s="63" t="s">
        <v>38</v>
      </c>
    </row>
    <row r="7" spans="1:9" ht="20.399999999999999" customHeight="1" x14ac:dyDescent="0.3">
      <c r="A7" s="73">
        <v>3</v>
      </c>
      <c r="B7" s="62">
        <v>29</v>
      </c>
      <c r="C7" s="62"/>
      <c r="D7" s="92"/>
      <c r="E7" s="93"/>
      <c r="F7" s="71">
        <f>D7 * E7</f>
        <v>0</v>
      </c>
      <c r="G7" s="94"/>
      <c r="H7" s="62">
        <v>800</v>
      </c>
      <c r="I7" s="63" t="s">
        <v>39</v>
      </c>
    </row>
    <row r="8" spans="1:9" ht="20.399999999999999" customHeight="1" x14ac:dyDescent="0.3">
      <c r="A8" s="73">
        <v>4</v>
      </c>
      <c r="B8" s="62">
        <v>30</v>
      </c>
      <c r="C8" s="62"/>
      <c r="D8" s="92"/>
      <c r="E8" s="93"/>
      <c r="F8" s="71">
        <f>D8 * E8</f>
        <v>0</v>
      </c>
      <c r="G8" s="94"/>
      <c r="H8" s="62">
        <v>800</v>
      </c>
      <c r="I8" s="63" t="s">
        <v>40</v>
      </c>
    </row>
    <row r="9" spans="1:9" ht="20.399999999999999" customHeight="1" x14ac:dyDescent="0.3">
      <c r="A9" s="73">
        <v>5</v>
      </c>
      <c r="B9" s="62">
        <v>31</v>
      </c>
      <c r="C9" s="62"/>
      <c r="D9" s="92"/>
      <c r="E9" s="93"/>
      <c r="F9" s="71">
        <f>D9 * E9</f>
        <v>0</v>
      </c>
      <c r="G9" s="94"/>
      <c r="H9" s="62">
        <v>300</v>
      </c>
      <c r="I9" s="63" t="s">
        <v>41</v>
      </c>
    </row>
  </sheetData>
  <sheetProtection sheet="1" scenarios="1" selectLockedCells="1"/>
  <dataConsolidate/>
  <mergeCells count="2">
    <mergeCell ref="A1:A3"/>
    <mergeCell ref="B1:F3"/>
  </mergeCells>
  <conditionalFormatting sqref="I1:I3">
    <cfRule type="expression" dxfId="13" priority="7">
      <formula>I1=""</formula>
    </cfRule>
  </conditionalFormatting>
  <conditionalFormatting sqref="D5:D9">
    <cfRule type="expression" dxfId="12" priority="2">
      <formula>+AND(D5&lt;&gt;"",NOT(ISNUMBER(D5)))</formula>
    </cfRule>
    <cfRule type="expression" dxfId="11" priority="6">
      <formula>AND(E5&lt;&gt;"",D5="")</formula>
    </cfRule>
  </conditionalFormatting>
  <conditionalFormatting sqref="E5:E9">
    <cfRule type="expression" dxfId="10" priority="3">
      <formula>+AND(E5&lt;&gt;"",NOT(ISNUMBER(E5)))</formula>
    </cfRule>
    <cfRule type="expression" dxfId="9" priority="5">
      <formula>AND(D5&lt;&gt;"",E5="")</formula>
    </cfRule>
  </conditionalFormatting>
  <conditionalFormatting sqref="A5:A9">
    <cfRule type="expression" dxfId="8" priority="1">
      <formula>OR(AND(D5&lt;&gt;"",NOT(ISNUMBER(D5))),AND(E5&lt;&gt;"",NOT(ISNUMBER(E5))))</formula>
    </cfRule>
    <cfRule type="expression" dxfId="7" priority="4">
      <formula>AND(D5&lt;&gt;"",E5&lt;&gt;"")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3C654-5875-44CE-B7F5-F50148861C8B}">
  <sheetPr codeName="modCuadro"/>
  <dimension ref="A1:J51"/>
  <sheetViews>
    <sheetView workbookViewId="0">
      <selection activeCell="H4" sqref="H4"/>
    </sheetView>
  </sheetViews>
  <sheetFormatPr baseColWidth="10" defaultRowHeight="14.4" x14ac:dyDescent="0.3"/>
  <cols>
    <col min="1" max="1" width="3.77734375" customWidth="1"/>
    <col min="2" max="4" width="3" customWidth="1"/>
    <col min="5" max="5" width="38.77734375" customWidth="1"/>
    <col min="6" max="8" width="20.77734375" customWidth="1"/>
    <col min="9" max="9" width="30.77734375" customWidth="1"/>
    <col min="10" max="10" width="2.6640625" customWidth="1"/>
  </cols>
  <sheetData>
    <row r="1" spans="1:10" x14ac:dyDescent="0.3">
      <c r="B1" s="75">
        <v>1</v>
      </c>
      <c r="C1" s="76">
        <v>2</v>
      </c>
      <c r="D1" s="76">
        <v>3</v>
      </c>
      <c r="E1" s="76">
        <v>4</v>
      </c>
      <c r="F1" s="76">
        <v>5</v>
      </c>
      <c r="G1" s="76">
        <v>6</v>
      </c>
      <c r="H1" s="76">
        <v>7</v>
      </c>
      <c r="I1" s="76">
        <v>8</v>
      </c>
      <c r="J1" s="77"/>
    </row>
    <row r="2" spans="1:10" x14ac:dyDescent="0.3">
      <c r="A2" s="79">
        <v>1</v>
      </c>
      <c r="J2" s="46"/>
    </row>
    <row r="3" spans="1:10" x14ac:dyDescent="0.3">
      <c r="A3" s="80">
        <v>2</v>
      </c>
      <c r="J3" s="46"/>
    </row>
    <row r="4" spans="1:10" ht="18" x14ac:dyDescent="0.35">
      <c r="A4" s="80">
        <v>3</v>
      </c>
      <c r="E4" s="78" t="s">
        <v>63</v>
      </c>
      <c r="J4" s="46"/>
    </row>
    <row r="5" spans="1:10" ht="15.6" x14ac:dyDescent="0.3">
      <c r="A5" s="80">
        <v>4</v>
      </c>
      <c r="E5" s="68" t="s">
        <v>62</v>
      </c>
      <c r="J5" s="46"/>
    </row>
    <row r="6" spans="1:10" s="11" customFormat="1" ht="18" customHeight="1" x14ac:dyDescent="0.3">
      <c r="A6" s="80">
        <v>5</v>
      </c>
      <c r="E6" s="16" t="s">
        <v>6</v>
      </c>
      <c r="F6" s="17" t="s">
        <v>7</v>
      </c>
      <c r="G6" s="18"/>
      <c r="H6" s="19"/>
      <c r="I6" s="5" t="s">
        <v>24</v>
      </c>
      <c r="J6" s="47"/>
    </row>
    <row r="7" spans="1:10" ht="34.950000000000003" customHeight="1" x14ac:dyDescent="0.3">
      <c r="A7" s="80">
        <v>6</v>
      </c>
      <c r="C7" s="6" t="s">
        <v>8</v>
      </c>
      <c r="D7" s="7"/>
      <c r="E7" s="32">
        <v>0</v>
      </c>
      <c r="F7" s="20" t="s">
        <v>7</v>
      </c>
      <c r="G7" s="9"/>
      <c r="H7" s="10"/>
      <c r="I7" s="8">
        <v>12394128</v>
      </c>
      <c r="J7" s="46"/>
    </row>
    <row r="8" spans="1:10" s="11" customFormat="1" ht="19.95" customHeight="1" x14ac:dyDescent="0.3">
      <c r="A8" s="80">
        <v>7</v>
      </c>
      <c r="C8" s="82" t="s">
        <v>64</v>
      </c>
      <c r="D8" s="83" t="s">
        <v>26</v>
      </c>
      <c r="E8" s="21" t="s">
        <v>9</v>
      </c>
      <c r="F8" s="21" t="s">
        <v>10</v>
      </c>
      <c r="G8" s="21" t="s">
        <v>11</v>
      </c>
      <c r="H8" s="21" t="s">
        <v>12</v>
      </c>
      <c r="I8" s="22" t="s">
        <v>13</v>
      </c>
      <c r="J8" s="47"/>
    </row>
    <row r="9" spans="1:10" s="11" customFormat="1" ht="13.8" customHeight="1" x14ac:dyDescent="0.3">
      <c r="A9" s="80">
        <v>8</v>
      </c>
      <c r="C9" s="84">
        <v>1</v>
      </c>
      <c r="D9" s="85">
        <v>2</v>
      </c>
      <c r="E9" s="44" t="s">
        <v>28</v>
      </c>
      <c r="F9" s="23">
        <v>1</v>
      </c>
      <c r="G9" s="24">
        <v>123</v>
      </c>
      <c r="H9" s="24">
        <f>+G9*F9</f>
        <v>123</v>
      </c>
      <c r="I9" s="25"/>
      <c r="J9" s="47"/>
    </row>
    <row r="10" spans="1:10" x14ac:dyDescent="0.3">
      <c r="A10" s="80">
        <v>9</v>
      </c>
      <c r="F10" s="4"/>
      <c r="J10" s="46"/>
    </row>
    <row r="11" spans="1:10" ht="12" customHeight="1" x14ac:dyDescent="0.3">
      <c r="A11" s="80">
        <v>10</v>
      </c>
      <c r="J11" s="46"/>
    </row>
    <row r="12" spans="1:10" s="13" customFormat="1" ht="12" customHeight="1" x14ac:dyDescent="0.25">
      <c r="A12" s="80">
        <v>11</v>
      </c>
      <c r="C12" s="13" t="s">
        <v>14</v>
      </c>
      <c r="E12" s="14"/>
      <c r="J12" s="48"/>
    </row>
    <row r="13" spans="1:10" s="13" customFormat="1" ht="12" customHeight="1" x14ac:dyDescent="0.25">
      <c r="A13" s="80">
        <v>12</v>
      </c>
      <c r="J13" s="48"/>
    </row>
    <row r="14" spans="1:10" s="13" customFormat="1" ht="12" customHeight="1" x14ac:dyDescent="0.25">
      <c r="A14" s="80">
        <v>13</v>
      </c>
      <c r="J14" s="48"/>
    </row>
    <row r="15" spans="1:10" s="13" customFormat="1" ht="12" customHeight="1" x14ac:dyDescent="0.25">
      <c r="A15" s="80">
        <v>14</v>
      </c>
      <c r="C15" s="13" t="s">
        <v>15</v>
      </c>
      <c r="F15" s="14"/>
      <c r="G15" s="14"/>
      <c r="H15" s="14"/>
      <c r="I15" s="14"/>
      <c r="J15" s="48"/>
    </row>
    <row r="16" spans="1:10" s="13" customFormat="1" ht="12" customHeight="1" x14ac:dyDescent="0.25">
      <c r="A16" s="80">
        <v>15</v>
      </c>
      <c r="J16" s="48"/>
    </row>
    <row r="17" spans="1:10" s="13" customFormat="1" ht="12" customHeight="1" x14ac:dyDescent="0.25">
      <c r="A17" s="80">
        <v>16</v>
      </c>
      <c r="J17" s="48"/>
    </row>
    <row r="18" spans="1:10" s="13" customFormat="1" ht="12" customHeight="1" x14ac:dyDescent="0.25">
      <c r="A18" s="80">
        <v>17</v>
      </c>
      <c r="C18" s="13" t="s">
        <v>16</v>
      </c>
      <c r="J18" s="48"/>
    </row>
    <row r="19" spans="1:10" s="13" customFormat="1" ht="12" customHeight="1" x14ac:dyDescent="0.25">
      <c r="A19" s="80">
        <v>18</v>
      </c>
      <c r="E19" s="14"/>
      <c r="F19" s="14"/>
      <c r="G19" s="14"/>
      <c r="H19" s="14"/>
      <c r="I19" s="14"/>
      <c r="J19" s="48"/>
    </row>
    <row r="20" spans="1:10" s="13" customFormat="1" ht="12" customHeight="1" x14ac:dyDescent="0.25">
      <c r="A20" s="80">
        <v>19</v>
      </c>
      <c r="E20" s="12" t="s">
        <v>17</v>
      </c>
      <c r="F20" s="12"/>
      <c r="G20" s="12"/>
      <c r="H20" s="12"/>
      <c r="I20" s="12"/>
      <c r="J20" s="48"/>
    </row>
    <row r="21" spans="1:10" s="15" customFormat="1" x14ac:dyDescent="0.3">
      <c r="A21" s="80">
        <v>20</v>
      </c>
      <c r="J21" s="49"/>
    </row>
    <row r="22" spans="1:10" s="45" customFormat="1" x14ac:dyDescent="0.3">
      <c r="A22" s="81"/>
      <c r="B22" s="46"/>
      <c r="C22" s="46"/>
      <c r="D22" s="46"/>
      <c r="E22" s="46"/>
      <c r="F22" s="46"/>
      <c r="G22" s="46"/>
      <c r="H22" s="46"/>
      <c r="I22" s="46"/>
      <c r="J22" s="46"/>
    </row>
    <row r="23" spans="1:10" x14ac:dyDescent="0.3">
      <c r="J23" s="46"/>
    </row>
    <row r="24" spans="1:10" x14ac:dyDescent="0.3">
      <c r="J24" s="46"/>
    </row>
    <row r="25" spans="1:10" x14ac:dyDescent="0.3">
      <c r="J25" s="46"/>
    </row>
    <row r="26" spans="1:10" ht="15.6" x14ac:dyDescent="0.3">
      <c r="E26" s="39" t="s">
        <v>18</v>
      </c>
      <c r="J26" s="46"/>
    </row>
    <row r="27" spans="1:10" ht="21" x14ac:dyDescent="0.3">
      <c r="D27" s="40" t="s">
        <v>23</v>
      </c>
      <c r="F27" s="3"/>
      <c r="G27" s="3"/>
      <c r="H27" s="3"/>
      <c r="I27" s="3"/>
      <c r="J27" s="46"/>
    </row>
    <row r="28" spans="1:10" ht="21" customHeight="1" x14ac:dyDescent="0.3">
      <c r="C28" s="28" t="s">
        <v>8</v>
      </c>
      <c r="D28" s="29"/>
      <c r="E28" s="30" t="s">
        <v>7</v>
      </c>
      <c r="F28" s="30"/>
      <c r="G28" s="30"/>
      <c r="H28" s="30"/>
      <c r="I28" s="31" t="s">
        <v>24</v>
      </c>
      <c r="J28" s="46"/>
    </row>
    <row r="29" spans="1:10" ht="20.399999999999999" customHeight="1" x14ac:dyDescent="0.3">
      <c r="C29" s="34">
        <v>1</v>
      </c>
      <c r="D29" s="35"/>
      <c r="E29" s="36" t="s">
        <v>25</v>
      </c>
      <c r="F29" s="37"/>
      <c r="G29" s="37"/>
      <c r="H29" s="38"/>
      <c r="I29" s="33">
        <v>1231</v>
      </c>
      <c r="J29" s="46"/>
    </row>
    <row r="30" spans="1:10" x14ac:dyDescent="0.3">
      <c r="J30" s="46"/>
    </row>
    <row r="31" spans="1:10" x14ac:dyDescent="0.3">
      <c r="J31" s="46"/>
    </row>
    <row r="32" spans="1:10" x14ac:dyDescent="0.3">
      <c r="J32" s="46"/>
    </row>
    <row r="33" spans="2:10" x14ac:dyDescent="0.3">
      <c r="J33" s="46"/>
    </row>
    <row r="34" spans="2:10" x14ac:dyDescent="0.3">
      <c r="C34" s="13" t="s">
        <v>14</v>
      </c>
      <c r="D34" s="13"/>
      <c r="E34" s="14"/>
      <c r="F34" s="13"/>
      <c r="G34" s="13"/>
      <c r="H34" s="13"/>
      <c r="I34" s="13"/>
      <c r="J34" s="46"/>
    </row>
    <row r="35" spans="2:10" x14ac:dyDescent="0.3">
      <c r="C35" s="13"/>
      <c r="D35" s="13"/>
      <c r="E35" s="13"/>
      <c r="F35" s="13"/>
      <c r="G35" s="13"/>
      <c r="H35" s="13"/>
      <c r="I35" s="13"/>
      <c r="J35" s="46"/>
    </row>
    <row r="36" spans="2:10" x14ac:dyDescent="0.3">
      <c r="C36" s="13"/>
      <c r="D36" s="13"/>
      <c r="E36" s="13"/>
      <c r="F36" s="13"/>
      <c r="G36" s="13"/>
      <c r="H36" s="13"/>
      <c r="I36" s="13"/>
      <c r="J36" s="46"/>
    </row>
    <row r="37" spans="2:10" x14ac:dyDescent="0.3">
      <c r="C37" s="13"/>
      <c r="D37" s="13"/>
      <c r="E37" s="13"/>
      <c r="F37" s="13"/>
      <c r="G37" s="13"/>
      <c r="H37" s="13"/>
      <c r="I37" s="13"/>
      <c r="J37" s="46"/>
    </row>
    <row r="38" spans="2:10" x14ac:dyDescent="0.3">
      <c r="C38" s="13"/>
      <c r="D38" s="13"/>
      <c r="E38" s="13"/>
      <c r="F38" s="13"/>
      <c r="G38" s="13"/>
      <c r="H38" s="13"/>
      <c r="I38" s="13"/>
      <c r="J38" s="46"/>
    </row>
    <row r="39" spans="2:10" x14ac:dyDescent="0.3">
      <c r="C39" s="13" t="s">
        <v>16</v>
      </c>
      <c r="D39" s="13"/>
      <c r="E39" s="13"/>
      <c r="F39" s="13"/>
      <c r="G39" s="13"/>
      <c r="H39" s="13"/>
      <c r="I39" s="13"/>
      <c r="J39" s="46"/>
    </row>
    <row r="40" spans="2:10" x14ac:dyDescent="0.3">
      <c r="C40" s="13"/>
      <c r="D40" s="13"/>
      <c r="E40" s="14"/>
      <c r="F40" s="14"/>
      <c r="G40" s="14"/>
      <c r="H40" s="14"/>
      <c r="I40" s="14"/>
      <c r="J40" s="46"/>
    </row>
    <row r="41" spans="2:10" x14ac:dyDescent="0.3">
      <c r="C41" s="13"/>
      <c r="D41" s="13"/>
      <c r="E41" s="12" t="s">
        <v>17</v>
      </c>
      <c r="F41" s="12"/>
      <c r="G41" s="12"/>
      <c r="H41" s="12"/>
      <c r="I41" s="12"/>
      <c r="J41" s="46"/>
    </row>
    <row r="42" spans="2:10" x14ac:dyDescent="0.3">
      <c r="J42" s="46"/>
    </row>
    <row r="43" spans="2:10" x14ac:dyDescent="0.3">
      <c r="B43" s="46"/>
      <c r="C43" s="46"/>
      <c r="D43" s="46"/>
      <c r="E43" s="46"/>
      <c r="F43" s="46"/>
      <c r="G43" s="46"/>
      <c r="H43" s="46"/>
      <c r="I43" s="46"/>
      <c r="J43" s="46"/>
    </row>
    <row r="44" spans="2:10" x14ac:dyDescent="0.3">
      <c r="J44" s="46"/>
    </row>
    <row r="45" spans="2:10" x14ac:dyDescent="0.3">
      <c r="J45" s="46"/>
    </row>
    <row r="46" spans="2:10" ht="15.6" x14ac:dyDescent="0.3">
      <c r="E46" s="39" t="s">
        <v>18</v>
      </c>
      <c r="J46" s="46"/>
    </row>
    <row r="47" spans="2:10" ht="21" x14ac:dyDescent="0.3">
      <c r="D47" s="40" t="s">
        <v>29</v>
      </c>
      <c r="J47" s="46"/>
    </row>
    <row r="48" spans="2:10" ht="28.2" customHeight="1" x14ac:dyDescent="0.3">
      <c r="C48" s="28" t="s">
        <v>26</v>
      </c>
      <c r="D48" s="29"/>
      <c r="E48" s="26" t="s">
        <v>19</v>
      </c>
      <c r="F48" s="26" t="s">
        <v>20</v>
      </c>
      <c r="G48" s="26" t="s">
        <v>21</v>
      </c>
      <c r="H48" s="27" t="s">
        <v>22</v>
      </c>
      <c r="J48" s="46"/>
    </row>
    <row r="49" spans="2:10" s="11" customFormat="1" ht="26.4" customHeight="1" x14ac:dyDescent="0.3">
      <c r="C49" s="42">
        <v>1</v>
      </c>
      <c r="D49" s="41"/>
      <c r="E49" s="43" t="s">
        <v>27</v>
      </c>
      <c r="F49" s="51" t="s">
        <v>30</v>
      </c>
      <c r="G49" s="51" t="s">
        <v>30</v>
      </c>
      <c r="H49" s="52" t="s">
        <v>31</v>
      </c>
      <c r="J49" s="47"/>
    </row>
    <row r="50" spans="2:10" x14ac:dyDescent="0.3">
      <c r="B50" s="50"/>
      <c r="C50" s="50"/>
      <c r="D50" s="50"/>
      <c r="E50" s="50"/>
      <c r="F50" s="50"/>
      <c r="G50" s="50"/>
      <c r="H50" s="50"/>
      <c r="I50" s="50"/>
      <c r="J50" s="46"/>
    </row>
    <row r="51" spans="2:10" x14ac:dyDescent="0.3">
      <c r="B51" s="46"/>
      <c r="C51" s="46"/>
      <c r="D51" s="46"/>
      <c r="E51" s="46"/>
      <c r="F51" s="46"/>
      <c r="G51" s="46"/>
      <c r="H51" s="46"/>
      <c r="I51" s="46"/>
      <c r="J51" s="46"/>
    </row>
  </sheetData>
  <dataConsolidate/>
  <pageMargins left="0.70866141732283472" right="0.17" top="0.953125" bottom="0.74803149606299213" header="0.31496062992125984" footer="0.31496062992125984"/>
  <pageSetup paperSize="9" scale="71" orientation="portrait" r:id="rId1"/>
  <headerFooter>
    <oddHeader>&amp;L&amp;G&amp;C&amp;"-,Negrita"
LICITACION PUBLICA Nº /2022
Tanto tanto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44B5A-5183-4184-9F18-736150260077}">
  <sheetPr codeName="modOferta"/>
  <dimension ref="A1:I5"/>
  <sheetViews>
    <sheetView showGridLines="0" workbookViewId="0">
      <selection activeCell="E10" sqref="E10"/>
    </sheetView>
  </sheetViews>
  <sheetFormatPr baseColWidth="10" defaultRowHeight="14.4" x14ac:dyDescent="0.3"/>
  <cols>
    <col min="1" max="3" width="5.88671875" customWidth="1"/>
    <col min="4" max="5" width="16.77734375" customWidth="1"/>
    <col min="6" max="6" width="18" customWidth="1"/>
    <col min="7" max="7" width="26.44140625" customWidth="1"/>
    <col min="8" max="8" width="14.109375" customWidth="1"/>
    <col min="9" max="9" width="40.109375" customWidth="1"/>
  </cols>
  <sheetData>
    <row r="1" spans="1:9" ht="16.05" customHeight="1" x14ac:dyDescent="0.3">
      <c r="A1" s="86">
        <v>1</v>
      </c>
      <c r="B1" s="87" t="s">
        <v>43</v>
      </c>
      <c r="C1" s="87"/>
      <c r="D1" s="87"/>
      <c r="E1" s="87"/>
      <c r="F1" s="87"/>
      <c r="H1" s="54" t="s">
        <v>51</v>
      </c>
      <c r="I1" s="91"/>
    </row>
    <row r="2" spans="1:9" ht="16.05" customHeight="1" x14ac:dyDescent="0.3">
      <c r="A2" s="86"/>
      <c r="B2" s="87"/>
      <c r="C2" s="87"/>
      <c r="D2" s="87"/>
      <c r="E2" s="87"/>
      <c r="F2" s="87"/>
      <c r="H2" s="54" t="s">
        <v>52</v>
      </c>
      <c r="I2" s="91"/>
    </row>
    <row r="3" spans="1:9" ht="16.05" customHeight="1" x14ac:dyDescent="0.3">
      <c r="A3" s="86"/>
      <c r="B3" s="87"/>
      <c r="C3" s="87"/>
      <c r="D3" s="87"/>
      <c r="E3" s="87"/>
      <c r="F3" s="87"/>
      <c r="H3" s="54" t="s">
        <v>53</v>
      </c>
      <c r="I3" s="91"/>
    </row>
    <row r="4" spans="1:9" ht="43.2" x14ac:dyDescent="0.3">
      <c r="A4" s="56" t="s">
        <v>54</v>
      </c>
      <c r="B4" s="57" t="s">
        <v>44</v>
      </c>
      <c r="C4" s="57" t="s">
        <v>45</v>
      </c>
      <c r="D4" s="57" t="s">
        <v>46</v>
      </c>
      <c r="E4" s="58" t="s">
        <v>47</v>
      </c>
      <c r="F4" s="58" t="s">
        <v>48</v>
      </c>
      <c r="G4" s="57" t="s">
        <v>49</v>
      </c>
      <c r="H4" s="57" t="s">
        <v>50</v>
      </c>
      <c r="I4" s="59" t="s">
        <v>2</v>
      </c>
    </row>
    <row r="5" spans="1:9" ht="20.399999999999999" customHeight="1" x14ac:dyDescent="0.3">
      <c r="A5" s="73"/>
      <c r="B5" s="60"/>
      <c r="C5" s="60"/>
      <c r="D5" s="88"/>
      <c r="E5" s="89"/>
      <c r="F5" s="70"/>
      <c r="G5" s="90"/>
      <c r="H5" s="60"/>
      <c r="I5" s="61"/>
    </row>
  </sheetData>
  <sheetProtection selectLockedCells="1"/>
  <mergeCells count="2">
    <mergeCell ref="A1:A3"/>
    <mergeCell ref="B1:F3"/>
  </mergeCells>
  <conditionalFormatting sqref="I1:I3">
    <cfRule type="expression" dxfId="6" priority="9">
      <formula>I1=""</formula>
    </cfRule>
  </conditionalFormatting>
  <conditionalFormatting sqref="D5">
    <cfRule type="expression" dxfId="5" priority="2">
      <formula>+AND(D5&lt;&gt;"",NOT(ISNUMBER(D5)))</formula>
    </cfRule>
    <cfRule type="expression" dxfId="4" priority="8">
      <formula>AND(E5&lt;&gt;"",D5="")</formula>
    </cfRule>
  </conditionalFormatting>
  <conditionalFormatting sqref="E5">
    <cfRule type="expression" dxfId="3" priority="3">
      <formula>+AND(E5&lt;&gt;"",NOT(ISNUMBER(E5)))</formula>
    </cfRule>
    <cfRule type="expression" dxfId="2" priority="7">
      <formula>AND(D5&lt;&gt;"",E5="")</formula>
    </cfRule>
  </conditionalFormatting>
  <conditionalFormatting sqref="A5">
    <cfRule type="expression" dxfId="1" priority="1">
      <formula>OR(AND(D5&lt;&gt;"",NOT(ISNUMBER(D5))),AND(E5&lt;&gt;"",NOT(ISNUMBER(E5))))</formula>
    </cfRule>
    <cfRule type="expression" dxfId="0" priority="4">
      <formula>AND(D5&lt;&gt;"",E5&lt;&gt;"")</formula>
    </cfRule>
  </conditionalFormatting>
  <dataValidations count="1">
    <dataValidation type="decimal" operator="greaterThan" allowBlank="1" showInputMessage="1" showErrorMessage="1" errorTitle="Dato Invalido" error="Solo se aceptan nùmeros en este campo." sqref="D5:E5" xr:uid="{0115ED74-40CE-4E21-9B73-D4D8F9F55529}">
      <formula1>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Tablero</vt:lpstr>
      <vt:lpstr>1 - RAUL AGUSTIN CO..</vt:lpstr>
      <vt:lpstr>2 - PASTRANA MARCEL..</vt:lpstr>
      <vt:lpstr>3 - RETAMOZO ADRIAN..</vt:lpstr>
      <vt:lpstr>4 - RODRIGUEZ BOSCH..</vt:lpstr>
      <vt:lpstr>Modelo Cuadro</vt:lpstr>
      <vt:lpstr>mo</vt:lpstr>
      <vt:lpstr>anoProc</vt:lpstr>
      <vt:lpstr>cantProv</vt:lpstr>
      <vt:lpstr>cantReng</vt:lpstr>
      <vt:lpstr>modeloCond</vt:lpstr>
      <vt:lpstr>modeloCuadro</vt:lpstr>
      <vt:lpstr>modeloDesiertos</vt:lpstr>
      <vt:lpstr>numProc</vt:lpstr>
      <vt:lpstr>objetoProc</vt:lpstr>
      <vt:lpstr>tipoProc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Leopoldo Bini</dc:creator>
  <cp:lastModifiedBy>Raúl Leopoldo Bini</cp:lastModifiedBy>
  <cp:lastPrinted>2022-06-15T23:22:40Z</cp:lastPrinted>
  <dcterms:created xsi:type="dcterms:W3CDTF">2015-06-05T18:17:20Z</dcterms:created>
  <dcterms:modified xsi:type="dcterms:W3CDTF">2022-06-17T08:41:44Z</dcterms:modified>
</cp:coreProperties>
</file>