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\VBA-cuadroscomparativos\"/>
    </mc:Choice>
  </mc:AlternateContent>
  <xr:revisionPtr revIDLastSave="0" documentId="13_ncr:1_{547ADAF3-86D1-484E-BDA8-8E3B270397C2}" xr6:coauthVersionLast="47" xr6:coauthVersionMax="47" xr10:uidLastSave="{00000000-0000-0000-0000-000000000000}"/>
  <bookViews>
    <workbookView xWindow="28692" yWindow="-6876" windowWidth="19416" windowHeight="14856" xr2:uid="{EFB66FB9-B21C-49FF-BA9C-F0B3CCD4B4DB}"/>
  </bookViews>
  <sheets>
    <sheet name="Cuadro L.P. 196-22231" sheetId="117" r:id="rId1"/>
    <sheet name="Cuadro L.P. 196-22" sheetId="119" r:id="rId2"/>
    <sheet name="Proveedores" sheetId="1" r:id="rId3"/>
    <sheet name="Renglones Pliego" sheetId="2" r:id="rId4"/>
    <sheet name="RAUL AGUSTIN CORRALES" sheetId="116" r:id="rId5"/>
    <sheet name="PASTRANA MARCELO VICENTE" sheetId="115" r:id="rId6"/>
    <sheet name="RETAMOZO ADRIAN EDUARDO" sheetId="114" r:id="rId7"/>
    <sheet name="RODRIGUEZ BOSCHERO CARLOS " sheetId="113" r:id="rId8"/>
    <sheet name="Hoja31" sheetId="112" r:id="rId9"/>
    <sheet name="Modelo Cuadro" sheetId="49" state="hidden" r:id="rId10"/>
  </sheets>
  <functionGroups builtInGroupCount="19"/>
  <definedNames>
    <definedName name="_xlnm._FilterDatabase" localSheetId="9" hidden="1">'Modelo Cuadro'!#REF!</definedName>
    <definedName name="anoProc">Proveedores!$D$5</definedName>
    <definedName name="_xlnm.Print_Area" localSheetId="9">'Modelo Cuadro'!#REF!</definedName>
    <definedName name="cantProv">Proveedores!$D$8</definedName>
    <definedName name="cantReng">Proveedores!$D$7</definedName>
    <definedName name="modeloCond">'Modelo Cuadro'!$A$43:$H$49</definedName>
    <definedName name="modeloCuadro">'Modelo Cuadro'!$A$1:$H$20</definedName>
    <definedName name="modeloDesiertos">'Modelo Cuadro'!$A$22:$H$41</definedName>
    <definedName name="numProc">Proveedores!$D$4</definedName>
    <definedName name="tipoProc">Proveedores!$D$3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97" i="119" l="1"/>
  <c r="G98" i="119"/>
  <c r="G99" i="119"/>
  <c r="G75" i="119"/>
  <c r="G76" i="119"/>
  <c r="G77" i="119"/>
  <c r="G53" i="119"/>
  <c r="G54" i="119"/>
  <c r="G55" i="119"/>
  <c r="G31" i="119"/>
  <c r="G32" i="119"/>
  <c r="G33" i="119"/>
  <c r="G8" i="119"/>
  <c r="G9" i="119"/>
  <c r="G10" i="119"/>
  <c r="G11" i="119"/>
  <c r="G97" i="117"/>
  <c r="G98" i="117"/>
  <c r="G99" i="117"/>
  <c r="G75" i="117"/>
  <c r="G76" i="117"/>
  <c r="G77" i="117"/>
  <c r="G53" i="117"/>
  <c r="G54" i="117"/>
  <c r="G55" i="117"/>
  <c r="G31" i="117"/>
  <c r="G32" i="117"/>
  <c r="G33" i="117"/>
  <c r="G8" i="117"/>
  <c r="G9" i="117"/>
  <c r="G10" i="117"/>
  <c r="G11" i="117"/>
  <c r="E5" i="115"/>
  <c r="E6" i="115"/>
  <c r="E7" i="115"/>
  <c r="E8" i="115"/>
  <c r="E9" i="115"/>
  <c r="E9" i="116"/>
  <c r="E8" i="116"/>
  <c r="E7" i="116"/>
  <c r="E6" i="116"/>
  <c r="E5" i="116"/>
  <c r="E9" i="114"/>
  <c r="E8" i="114"/>
  <c r="E7" i="114"/>
  <c r="E6" i="114"/>
  <c r="E5" i="114"/>
  <c r="E9" i="113"/>
  <c r="E8" i="113"/>
  <c r="E7" i="113"/>
  <c r="E6" i="113"/>
  <c r="E5" i="113"/>
  <c r="G8" i="4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Raúl Leopoldo Bini</author>
  </authors>
  <commentList>
    <comment ref="B4" authorId="0" shapeId="0" xr:uid="{17DE4120-A60C-4710-8305-E38446CDCAB4}">
      <text>
        <r>
          <rPr>
            <sz val="9"/>
            <color indexed="81"/>
            <rFont val="Tahoma"/>
            <family val="2"/>
          </rPr>
          <t>Dejar vacio si no es Alternativa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Raúl Leopoldo Bini</author>
  </authors>
  <commentList>
    <comment ref="B4" authorId="0" shapeId="0" xr:uid="{9E7B2640-50A6-42DF-B046-A43B7050CA83}">
      <text>
        <r>
          <rPr>
            <sz val="9"/>
            <color indexed="81"/>
            <rFont val="Tahoma"/>
            <family val="2"/>
          </rPr>
          <t>Dejar vacio si no es Alternativa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Raúl Leopoldo Bini</author>
  </authors>
  <commentList>
    <comment ref="B4" authorId="0" shapeId="0" xr:uid="{03E71282-D78F-46E0-BA08-D63A71BE3290}">
      <text>
        <r>
          <rPr>
            <sz val="9"/>
            <color indexed="81"/>
            <rFont val="Tahoma"/>
            <family val="2"/>
          </rPr>
          <t>Dejar vacio si no es Alternativa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Raúl Leopoldo Bini</author>
  </authors>
  <commentList>
    <comment ref="B4" authorId="0" shapeId="0" xr:uid="{5642A137-368F-4227-A36C-05DFB6AA85BD}">
      <text>
        <r>
          <rPr>
            <sz val="9"/>
            <color indexed="81"/>
            <rFont val="Tahoma"/>
            <family val="2"/>
          </rPr>
          <t>Dejar vacio si no es Alternativa</t>
        </r>
      </text>
    </comment>
  </commentList>
</comments>
</file>

<file path=xl/sharedStrings.xml><?xml version="1.0" encoding="utf-8"?>
<sst xmlns="http://schemas.openxmlformats.org/spreadsheetml/2006/main" count="453" uniqueCount="71">
  <si>
    <t>N° Proveedor S/Acta</t>
  </si>
  <si>
    <t>Nombre Proveedor S/Acta</t>
  </si>
  <si>
    <t>N° renglon</t>
  </si>
  <si>
    <t>Detalle</t>
  </si>
  <si>
    <t xml:space="preserve"> Cantidad</t>
  </si>
  <si>
    <t>Nº Proc.:</t>
  </si>
  <si>
    <t>Tipo Proc.:</t>
  </si>
  <si>
    <t>Año Proc.:</t>
  </si>
  <si>
    <t>Cantidad de Oferentes:</t>
  </si>
  <si>
    <t>Cantidad de Renglones:</t>
  </si>
  <si>
    <t>Reng.</t>
  </si>
  <si>
    <t>Alt. N°</t>
  </si>
  <si>
    <t>Cantidad Ofrecida</t>
  </si>
  <si>
    <t>Precio Unitario</t>
  </si>
  <si>
    <t>Cant. Pedida</t>
  </si>
  <si>
    <t>Observacion</t>
  </si>
  <si>
    <t>Total Ofertado</t>
  </si>
  <si>
    <t>RENGLÓN</t>
  </si>
  <si>
    <t>DESCRIPCIÓN</t>
  </si>
  <si>
    <t>N°</t>
  </si>
  <si>
    <t>R°</t>
  </si>
  <si>
    <t>OFERENTE</t>
  </si>
  <si>
    <t>Cant. Of.</t>
  </si>
  <si>
    <t>P/ Unitario</t>
  </si>
  <si>
    <t>$ Total</t>
  </si>
  <si>
    <t>Observaciones</t>
  </si>
  <si>
    <t>Fecha:</t>
  </si>
  <si>
    <t xml:space="preserve">Esta comisión aconseja preadjudicar a: </t>
  </si>
  <si>
    <t xml:space="preserve">Por:   </t>
  </si>
  <si>
    <t>Firmas</t>
  </si>
  <si>
    <t>C.A. 125/22</t>
  </si>
  <si>
    <t>Num Prov</t>
  </si>
  <si>
    <t>Proveedor</t>
  </si>
  <si>
    <t>Mant. Oferta</t>
  </si>
  <si>
    <t>Forma de Pago</t>
  </si>
  <si>
    <t>Forma de Entrega</t>
  </si>
  <si>
    <t>RENGLONES DESIERTOS</t>
  </si>
  <si>
    <t>CANT. SOLICITADA</t>
  </si>
  <si>
    <t>DETALLE NUMERO 1</t>
  </si>
  <si>
    <t>P°</t>
  </si>
  <si>
    <t>asda</t>
  </si>
  <si>
    <t>Proveedor uno</t>
  </si>
  <si>
    <t>CONDICIONES DE OFERTA</t>
  </si>
  <si>
    <t>Segùn Pliego</t>
  </si>
  <si>
    <t>Según Pliego</t>
  </si>
  <si>
    <t>Mant. Oferta:</t>
  </si>
  <si>
    <t>Forma de Pago:</t>
  </si>
  <si>
    <t>Forma de Entrega:</t>
  </si>
  <si>
    <t>Objeto:</t>
  </si>
  <si>
    <t>L.P.</t>
  </si>
  <si>
    <t>RAUL AGUSTIN CORRALES</t>
  </si>
  <si>
    <t>PASTRANA MARCELO VICENTE</t>
  </si>
  <si>
    <t>RETAMOZO ADRIAN EDUARDO</t>
  </si>
  <si>
    <t>Bolsa Plástica de 50x70 Rollo</t>
  </si>
  <si>
    <t>Plástico 100mic x 100mts largo/80cm ancho rollo</t>
  </si>
  <si>
    <t>Pilas AA Alcalinas x unidad</t>
  </si>
  <si>
    <t>Pilas AAA Alcalinas x unidad</t>
  </si>
  <si>
    <t>Pilas C Alcalinas x unidad</t>
  </si>
  <si>
    <t>60 dias</t>
  </si>
  <si>
    <t>45 dias</t>
  </si>
  <si>
    <t>5 dias</t>
  </si>
  <si>
    <t>Energizer</t>
  </si>
  <si>
    <t>Rayovac</t>
  </si>
  <si>
    <t xml:space="preserve">RODRIGUEZ BOSCHERO CARLOS </t>
  </si>
  <si>
    <t>7 dias</t>
  </si>
  <si>
    <t>L.P. 196/22</t>
  </si>
  <si>
    <t>R6 - Bolsa Plástica de 50x70 Rollo</t>
  </si>
  <si>
    <t>R8 - Plástico 100mic x 100mts largo/80cm ancho rollo</t>
  </si>
  <si>
    <t>R29 - Plástico 100mic x 100mts largo/80cm ancho rollo</t>
  </si>
  <si>
    <t>R30 - Pilas AAA Alcalinas x unidad</t>
  </si>
  <si>
    <t>R31 - Pilas C Alcalinas x unidad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</si>
</sst>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\ #,##0.00;[Red]\-&quot;$&quot;\ #,##0.00"/>
    <numFmt numFmtId="164" formatCode="&quot;$&quot;\ #,##0.00"/>
  </numFmts>
  <fonts count="12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646464"/>
        <bgColor indexed="64"/>
      </patternFill>
    </fill>
    <fill>
      <patternFill patternType="solid">
        <fgColor rgb="FFE2EEE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medium">
        <color rgb="FF00FF00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hair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hair">
        <color auto="1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theme="0" tint="-0.34998626667073579"/>
      </right>
      <top style="hair">
        <color auto="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hair">
        <color auto="1"/>
      </top>
      <bottom/>
      <diagonal/>
    </border>
    <border>
      <left style="thin">
        <color theme="0" tint="-0.34998626667073579"/>
      </left>
      <right style="thin">
        <color indexed="64"/>
      </right>
      <top style="hair">
        <color auto="1"/>
      </top>
      <bottom/>
      <diagonal/>
    </border>
    <border>
      <left style="thin">
        <color theme="0" tint="-0.34998626667073579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theme="0" tint="-0.34998626667073579"/>
      </right>
      <top style="hair">
        <color auto="1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theme="0" tint="-0.34998626667073579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hair">
        <color auto="1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hair">
        <color auto="1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34998626667073579"/>
      </right>
      <top style="hair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hair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/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/>
      <bottom style="hair">
        <color theme="0" tint="-0.34998626667073579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hair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hair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hair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hair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/>
      <top style="hair">
        <color theme="0" tint="-0.499984740745262"/>
      </top>
      <bottom style="thin">
        <color indexed="64"/>
      </bottom>
      <diagonal/>
    </border>
    <border>
      <left/>
      <right/>
      <top style="hair">
        <color theme="0" tint="-0.499984740745262"/>
      </top>
      <bottom style="thin">
        <color indexed="64"/>
      </bottom>
      <diagonal/>
    </border>
    <border>
      <left/>
      <right style="thin">
        <color theme="0" tint="-0.24994659260841701"/>
      </right>
      <top style="hair">
        <color theme="0" tint="-0.499984740745262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499984740745262"/>
      </top>
      <bottom style="thin">
        <color indexed="64"/>
      </bottom>
      <diagonal/>
    </border>
    <border>
      <left/>
      <right style="thin">
        <color theme="0" tint="-0.34998626667073579"/>
      </right>
      <top style="hair">
        <color theme="0" tint="-0.499984740745262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theme="0" tint="-0.34998626667073579"/>
      </bottom>
      <diagonal/>
    </border>
    <border>
      <left/>
      <right style="thin">
        <color theme="0" tint="-0.24994659260841701"/>
      </right>
      <top style="thin">
        <color indexed="64"/>
      </top>
      <bottom style="hair">
        <color theme="0" tint="-0.34998626667073579"/>
      </bottom>
      <diagonal/>
    </border>
    <border>
      <left style="thin">
        <color theme="0" tint="-0.24994659260841701"/>
      </left>
      <right/>
      <top style="thin">
        <color indexed="64"/>
      </top>
      <bottom style="hair">
        <color theme="0" tint="-0.34998626667073579"/>
      </bottom>
      <diagonal/>
    </border>
    <border>
      <left/>
      <right/>
      <top style="thin">
        <color indexed="64"/>
      </top>
      <bottom style="hair">
        <color theme="0" tint="-0.34998626667073579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hair">
        <color theme="0" tint="-0.3499862666707357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thin">
        <color theme="0" tint="-0.24994659260841701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24994659260841701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24994659260841701"/>
      </left>
      <right style="thin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indexed="64"/>
      </left>
      <right/>
      <top/>
      <bottom style="hair">
        <color theme="0" tint="-0.34998626667073579"/>
      </bottom>
      <diagonal/>
    </border>
    <border>
      <left/>
      <right style="thin">
        <color theme="0" tint="-0.24994659260841701"/>
      </right>
      <top/>
      <bottom style="hair">
        <color theme="0" tint="-0.34998626667073579"/>
      </bottom>
      <diagonal/>
    </border>
    <border>
      <left style="thin">
        <color theme="0" tint="-0.24994659260841701"/>
      </left>
      <right/>
      <top/>
      <bottom style="hair">
        <color theme="0" tint="-0.34998626667073579"/>
      </bottom>
      <diagonal/>
    </border>
    <border>
      <left/>
      <right/>
      <top/>
      <bottom style="hair">
        <color theme="0" tint="-0.34998626667073579"/>
      </bottom>
      <diagonal/>
    </border>
    <border>
      <left style="thin">
        <color theme="0" tint="-0.24994659260841701"/>
      </left>
      <right style="thin">
        <color indexed="64"/>
      </right>
      <top/>
      <bottom style="hair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164" fontId="0" fillId="3" borderId="1" xfId="0" applyNumberForma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164" fontId="0" fillId="3" borderId="2" xfId="0" applyNumberFormat="1" applyFill="1" applyBorder="1"/>
    <xf numFmtId="0" fontId="1" fillId="2" borderId="0" xfId="0" applyFont="1" applyFill="1" applyBorder="1" applyAlignment="1">
      <alignment horizontal="center" vertical="center" wrapText="1"/>
    </xf>
    <xf numFmtId="164" fontId="1" fillId="2" borderId="0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164" fontId="0" fillId="3" borderId="3" xfId="0" applyNumberFormat="1" applyFill="1" applyBorder="1"/>
    <xf numFmtId="0" fontId="0" fillId="0" borderId="3" xfId="0" applyBorder="1"/>
    <xf numFmtId="0" fontId="0" fillId="0" borderId="0" xfId="0" applyAlignment="1">
      <alignment horizontal="left"/>
    </xf>
    <xf numFmtId="0" fontId="0" fillId="3" borderId="3" xfId="0" applyFill="1" applyBorder="1"/>
    <xf numFmtId="0" fontId="0" fillId="3" borderId="1" xfId="0" applyFill="1" applyBorder="1"/>
    <xf numFmtId="0" fontId="0" fillId="3" borderId="2" xfId="0" applyFill="1" applyBorder="1"/>
    <xf numFmtId="3" fontId="0" fillId="0" borderId="0" xfId="0" applyNumberFormat="1"/>
    <xf numFmtId="0" fontId="0" fillId="4" borderId="7" xfId="0" applyFill="1" applyBorder="1" applyAlignment="1">
      <alignment horizontal="center" vertical="center"/>
    </xf>
    <xf numFmtId="0" fontId="0" fillId="4" borderId="5" xfId="0" applyFill="1" applyBorder="1" applyAlignment="1">
      <alignment horizontal="centerContinuous" vertical="center"/>
    </xf>
    <xf numFmtId="0" fontId="0" fillId="4" borderId="6" xfId="0" applyFill="1" applyBorder="1" applyAlignment="1">
      <alignment horizontal="centerContinuous" vertical="center"/>
    </xf>
    <xf numFmtId="0" fontId="4" fillId="0" borderId="0" xfId="0" applyFont="1"/>
    <xf numFmtId="3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Continuous" vertical="center"/>
    </xf>
    <xf numFmtId="0" fontId="0" fillId="0" borderId="13" xfId="0" applyBorder="1" applyAlignment="1">
      <alignment horizontal="centerContinuous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horizontal="centerContinuous"/>
    </xf>
    <xf numFmtId="0" fontId="5" fillId="0" borderId="0" xfId="0" applyFont="1" applyAlignment="1"/>
    <xf numFmtId="0" fontId="5" fillId="0" borderId="4" xfId="0" applyFont="1" applyBorder="1" applyAlignment="1"/>
    <xf numFmtId="0" fontId="0" fillId="0" borderId="0" xfId="0" applyAlignment="1"/>
    <xf numFmtId="0" fontId="0" fillId="4" borderId="5" xfId="0" applyFill="1" applyBorder="1" applyAlignment="1">
      <alignment horizontal="center" vertical="center"/>
    </xf>
    <xf numFmtId="0" fontId="0" fillId="4" borderId="14" xfId="0" applyFill="1" applyBorder="1" applyAlignment="1">
      <alignment horizontal="centerContinuous" vertical="center"/>
    </xf>
    <xf numFmtId="0" fontId="0" fillId="4" borderId="15" xfId="0" applyFill="1" applyBorder="1" applyAlignment="1">
      <alignment horizontal="centerContinuous" vertical="center"/>
    </xf>
    <xf numFmtId="0" fontId="0" fillId="4" borderId="16" xfId="0" applyFill="1" applyBorder="1" applyAlignment="1">
      <alignment horizontal="centerContinuous" vertical="center"/>
    </xf>
    <xf numFmtId="0" fontId="6" fillId="0" borderId="11" xfId="0" applyFont="1" applyBorder="1" applyAlignment="1">
      <alignment horizontal="centerContinuous" vertical="center" wrapText="1"/>
    </xf>
    <xf numFmtId="3" fontId="0" fillId="0" borderId="18" xfId="0" applyNumberFormat="1" applyBorder="1" applyAlignment="1">
      <alignment horizontal="center" vertical="center"/>
    </xf>
    <xf numFmtId="8" fontId="0" fillId="0" borderId="18" xfId="0" applyNumberFormat="1" applyBorder="1" applyAlignment="1">
      <alignment vertical="center"/>
    </xf>
    <xf numFmtId="0" fontId="0" fillId="0" borderId="19" xfId="0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8" fontId="0" fillId="0" borderId="27" xfId="0" applyNumberFormat="1" applyBorder="1" applyAlignment="1">
      <alignment vertical="center"/>
    </xf>
    <xf numFmtId="0" fontId="0" fillId="0" borderId="28" xfId="0" applyBorder="1" applyAlignment="1">
      <alignment horizontal="center" vertical="center"/>
    </xf>
    <xf numFmtId="3" fontId="0" fillId="0" borderId="30" xfId="0" applyNumberFormat="1" applyBorder="1" applyAlignment="1">
      <alignment horizontal="center" vertical="center"/>
    </xf>
    <xf numFmtId="8" fontId="0" fillId="0" borderId="30" xfId="0" applyNumberFormat="1" applyBorder="1" applyAlignment="1">
      <alignment vertical="center"/>
    </xf>
    <xf numFmtId="0" fontId="0" fillId="0" borderId="31" xfId="0" applyBorder="1" applyAlignment="1">
      <alignment horizontal="center" vertical="center"/>
    </xf>
    <xf numFmtId="3" fontId="0" fillId="0" borderId="33" xfId="0" applyNumberFormat="1" applyBorder="1" applyAlignment="1">
      <alignment horizontal="center" vertical="center"/>
    </xf>
    <xf numFmtId="8" fontId="0" fillId="0" borderId="33" xfId="0" applyNumberFormat="1" applyBorder="1" applyAlignment="1">
      <alignment vertical="center"/>
    </xf>
    <xf numFmtId="0" fontId="0" fillId="0" borderId="34" xfId="0" applyBorder="1" applyAlignment="1">
      <alignment horizontal="center" vertical="center"/>
    </xf>
    <xf numFmtId="0" fontId="0" fillId="4" borderId="22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35" xfId="0" applyFill="1" applyBorder="1" applyAlignment="1">
      <alignment horizontal="centerContinuous" vertical="center"/>
    </xf>
    <xf numFmtId="0" fontId="0" fillId="4" borderId="36" xfId="0" applyFill="1" applyBorder="1" applyAlignment="1">
      <alignment horizontal="centerContinuous"/>
    </xf>
    <xf numFmtId="0" fontId="0" fillId="4" borderId="36" xfId="0" applyFill="1" applyBorder="1" applyAlignment="1">
      <alignment horizontal="centerContinuous" vertical="center"/>
    </xf>
    <xf numFmtId="0" fontId="0" fillId="4" borderId="37" xfId="0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3" fontId="9" fillId="5" borderId="38" xfId="0" applyNumberFormat="1" applyFont="1" applyFill="1" applyBorder="1" applyAlignment="1">
      <alignment horizontal="center" vertical="center"/>
    </xf>
    <xf numFmtId="0" fontId="9" fillId="5" borderId="42" xfId="0" applyFont="1" applyFill="1" applyBorder="1" applyAlignment="1">
      <alignment horizontal="centerContinuous" vertical="center"/>
    </xf>
    <xf numFmtId="0" fontId="9" fillId="5" borderId="41" xfId="0" applyFont="1" applyFill="1" applyBorder="1" applyAlignment="1">
      <alignment horizontal="centerContinuous" vertical="center"/>
    </xf>
    <xf numFmtId="0" fontId="10" fillId="5" borderId="39" xfId="0" applyFont="1" applyFill="1" applyBorder="1" applyAlignment="1">
      <alignment horizontal="centerContinuous" vertical="center" wrapText="1"/>
    </xf>
    <xf numFmtId="0" fontId="9" fillId="5" borderId="40" xfId="0" applyFont="1" applyFill="1" applyBorder="1" applyAlignment="1">
      <alignment horizontal="centerContinuous" vertical="center" wrapText="1"/>
    </xf>
    <xf numFmtId="0" fontId="9" fillId="5" borderId="41" xfId="0" applyFont="1" applyFill="1" applyBorder="1" applyAlignment="1">
      <alignment horizontal="centerContinuous" vertical="center" wrapText="1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43" xfId="0" applyNumberFormat="1" applyBorder="1" applyAlignment="1">
      <alignment horizontal="centerContinuous" vertical="center"/>
    </xf>
    <xf numFmtId="0" fontId="0" fillId="0" borderId="42" xfId="0" applyBorder="1" applyAlignment="1">
      <alignment horizontal="centerContinuous" vertical="center"/>
    </xf>
    <xf numFmtId="0" fontId="0" fillId="0" borderId="27" xfId="0" applyNumberFormat="1" applyBorder="1" applyAlignment="1">
      <alignment horizontal="left" vertical="center" inden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left" vertical="center" indent="1"/>
    </xf>
    <xf numFmtId="0" fontId="0" fillId="0" borderId="0" xfId="0" applyFill="1"/>
    <xf numFmtId="0" fontId="0" fillId="6" borderId="0" xfId="0" applyFill="1"/>
    <xf numFmtId="0" fontId="0" fillId="6" borderId="0" xfId="0" applyFill="1" applyAlignment="1">
      <alignment vertical="center"/>
    </xf>
    <xf numFmtId="0" fontId="5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2" fillId="0" borderId="0" xfId="0" applyFont="1" applyAlignment="1">
      <alignment horizontal="center" vertical="center" wrapText="1"/>
    </xf>
    <xf numFmtId="0" fontId="11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left" vertical="center" indent="1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0" xfId="0" applyBorder="1" applyAlignment="1">
      <alignment horizontal="left" vertical="center" indent="1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left" vertical="center" indent="1"/>
    </xf>
    <xf numFmtId="0" fontId="0" fillId="4" borderId="44" xfId="0" applyFill="1" applyBorder="1" applyAlignment="1">
      <alignment horizontal="centerContinuous" vertical="center"/>
    </xf>
    <xf numFmtId="0" fontId="0" fillId="4" borderId="45" xfId="0" applyFill="1" applyBorder="1" applyAlignment="1">
      <alignment horizontal="centerContinuous"/>
    </xf>
    <xf numFmtId="0" fontId="0" fillId="4" borderId="45" xfId="0" applyFill="1" applyBorder="1" applyAlignment="1">
      <alignment horizontal="centerContinuous" vertical="center"/>
    </xf>
    <xf numFmtId="0" fontId="0" fillId="4" borderId="46" xfId="0" applyFill="1" applyBorder="1" applyAlignment="1">
      <alignment horizontal="center" vertical="center"/>
    </xf>
    <xf numFmtId="0" fontId="9" fillId="5" borderId="47" xfId="0" applyFont="1" applyFill="1" applyBorder="1" applyAlignment="1">
      <alignment horizontal="centerContinuous" vertical="center"/>
    </xf>
    <xf numFmtId="0" fontId="9" fillId="5" borderId="48" xfId="0" applyFont="1" applyFill="1" applyBorder="1" applyAlignment="1">
      <alignment horizontal="centerContinuous" vertical="center"/>
    </xf>
    <xf numFmtId="0" fontId="10" fillId="5" borderId="49" xfId="0" applyFont="1" applyFill="1" applyBorder="1" applyAlignment="1">
      <alignment horizontal="centerContinuous" vertical="center" wrapText="1"/>
    </xf>
    <xf numFmtId="0" fontId="9" fillId="5" borderId="50" xfId="0" applyFont="1" applyFill="1" applyBorder="1" applyAlignment="1">
      <alignment horizontal="centerContinuous" vertical="center" wrapText="1"/>
    </xf>
    <xf numFmtId="0" fontId="9" fillId="5" borderId="48" xfId="0" applyFont="1" applyFill="1" applyBorder="1" applyAlignment="1">
      <alignment horizontal="centerContinuous" vertical="center" wrapText="1"/>
    </xf>
    <xf numFmtId="3" fontId="9" fillId="5" borderId="51" xfId="0" applyNumberFormat="1" applyFont="1" applyFill="1" applyBorder="1" applyAlignment="1">
      <alignment horizontal="center" vertical="center"/>
    </xf>
    <xf numFmtId="0" fontId="9" fillId="5" borderId="52" xfId="0" applyFont="1" applyFill="1" applyBorder="1" applyAlignment="1">
      <alignment horizontal="centerContinuous" vertical="center"/>
    </xf>
    <xf numFmtId="0" fontId="9" fillId="5" borderId="53" xfId="0" applyFont="1" applyFill="1" applyBorder="1" applyAlignment="1">
      <alignment horizontal="centerContinuous" vertical="center"/>
    </xf>
    <xf numFmtId="0" fontId="10" fillId="5" borderId="54" xfId="0" applyFont="1" applyFill="1" applyBorder="1" applyAlignment="1">
      <alignment horizontal="centerContinuous" vertical="center" wrapText="1"/>
    </xf>
    <xf numFmtId="0" fontId="9" fillId="5" borderId="4" xfId="0" applyFont="1" applyFill="1" applyBorder="1" applyAlignment="1">
      <alignment horizontal="centerContinuous" vertical="center" wrapText="1"/>
    </xf>
    <xf numFmtId="0" fontId="9" fillId="5" borderId="53" xfId="0" applyFont="1" applyFill="1" applyBorder="1" applyAlignment="1">
      <alignment horizontal="centerContinuous" vertical="center" wrapText="1"/>
    </xf>
    <xf numFmtId="3" fontId="9" fillId="5" borderId="55" xfId="0" applyNumberFormat="1" applyFont="1" applyFill="1" applyBorder="1" applyAlignment="1">
      <alignment horizontal="center" vertical="center"/>
    </xf>
    <xf numFmtId="0" fontId="9" fillId="5" borderId="56" xfId="0" applyFont="1" applyFill="1" applyBorder="1" applyAlignment="1">
      <alignment horizontal="centerContinuous" vertical="center"/>
    </xf>
    <xf numFmtId="0" fontId="9" fillId="5" borderId="57" xfId="0" applyFont="1" applyFill="1" applyBorder="1" applyAlignment="1">
      <alignment horizontal="centerContinuous" vertical="center"/>
    </xf>
    <xf numFmtId="0" fontId="10" fillId="5" borderId="58" xfId="0" applyFont="1" applyFill="1" applyBorder="1" applyAlignment="1">
      <alignment horizontal="centerContinuous" vertical="center" wrapText="1"/>
    </xf>
    <xf numFmtId="0" fontId="9" fillId="5" borderId="59" xfId="0" applyFont="1" applyFill="1" applyBorder="1" applyAlignment="1">
      <alignment horizontal="centerContinuous" vertical="center" wrapText="1"/>
    </xf>
    <xf numFmtId="0" fontId="9" fillId="5" borderId="57" xfId="0" applyFont="1" applyFill="1" applyBorder="1" applyAlignment="1">
      <alignment horizontal="centerContinuous" vertical="center" wrapText="1"/>
    </xf>
    <xf numFmtId="3" fontId="9" fillId="5" borderId="60" xfId="0" applyNumberFormat="1" applyFont="1" applyFill="1" applyBorder="1" applyAlignment="1">
      <alignment horizontal="center" vertical="center"/>
    </xf>
    <xf numFmtId="0" fontId="9" fillId="5" borderId="61" xfId="0" applyFont="1" applyFill="1" applyBorder="1" applyAlignment="1">
      <alignment horizontal="centerContinuous" vertical="center"/>
    </xf>
    <xf numFmtId="0" fontId="9" fillId="5" borderId="62" xfId="0" applyFont="1" applyFill="1" applyBorder="1" applyAlignment="1">
      <alignment horizontal="centerContinuous" vertical="center"/>
    </xf>
    <xf numFmtId="0" fontId="10" fillId="5" borderId="63" xfId="0" applyFont="1" applyFill="1" applyBorder="1" applyAlignment="1">
      <alignment horizontal="centerContinuous" vertical="center" wrapText="1"/>
    </xf>
    <xf numFmtId="0" fontId="9" fillId="5" borderId="64" xfId="0" applyFont="1" applyFill="1" applyBorder="1" applyAlignment="1">
      <alignment horizontal="centerContinuous" vertical="center" wrapText="1"/>
    </xf>
    <xf numFmtId="0" fontId="9" fillId="5" borderId="62" xfId="0" applyFont="1" applyFill="1" applyBorder="1" applyAlignment="1">
      <alignment horizontal="centerContinuous" vertical="center" wrapText="1"/>
    </xf>
    <xf numFmtId="3" fontId="9" fillId="5" borderId="65" xfId="0" applyNumberFormat="1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 wrapText="1"/>
    </xf>
    <xf numFmtId="0" fontId="0" fillId="0" borderId="47" xfId="0" applyBorder="1" applyAlignment="1">
      <alignment horizontal="centerContinuous" vertical="center"/>
    </xf>
    <xf numFmtId="0" fontId="0" fillId="0" borderId="50" xfId="0" applyNumberFormat="1" applyBorder="1" applyAlignment="1">
      <alignment horizontal="centerContinuous" vertical="center"/>
    </xf>
    <xf numFmtId="0" fontId="0" fillId="0" borderId="22" xfId="0" applyNumberFormat="1" applyBorder="1" applyAlignment="1">
      <alignment horizontal="left" vertical="center" indent="1"/>
    </xf>
    <xf numFmtId="0" fontId="0" fillId="0" borderId="52" xfId="0" applyBorder="1" applyAlignment="1">
      <alignment horizontal="centerContinuous" vertical="center"/>
    </xf>
    <xf numFmtId="0" fontId="0" fillId="0" borderId="66" xfId="0" applyNumberFormat="1" applyBorder="1" applyAlignment="1">
      <alignment horizontal="centerContinuous" vertical="center"/>
    </xf>
    <xf numFmtId="0" fontId="0" fillId="0" borderId="18" xfId="0" applyNumberFormat="1" applyBorder="1" applyAlignment="1">
      <alignment horizontal="left" vertical="center" indent="1"/>
    </xf>
    <xf numFmtId="0" fontId="0" fillId="0" borderId="56" xfId="0" applyBorder="1" applyAlignment="1">
      <alignment horizontal="centerContinuous" vertical="center"/>
    </xf>
    <xf numFmtId="0" fontId="0" fillId="0" borderId="59" xfId="0" applyNumberFormat="1" applyBorder="1" applyAlignment="1">
      <alignment horizontal="centerContinuous" vertical="center"/>
    </xf>
    <xf numFmtId="0" fontId="0" fillId="0" borderId="30" xfId="0" applyNumberFormat="1" applyBorder="1" applyAlignment="1">
      <alignment horizontal="left" vertical="center" indent="1"/>
    </xf>
    <xf numFmtId="0" fontId="0" fillId="4" borderId="25" xfId="0" applyFill="1" applyBorder="1" applyAlignment="1">
      <alignment horizontal="center" vertical="center" wrapText="1"/>
    </xf>
    <xf numFmtId="0" fontId="5" fillId="0" borderId="27" xfId="0" applyNumberFormat="1" applyFont="1" applyBorder="1" applyAlignment="1">
      <alignment horizontal="center" vertical="center" wrapText="1"/>
    </xf>
    <xf numFmtId="0" fontId="5" fillId="0" borderId="28" xfId="0" applyNumberFormat="1" applyFont="1" applyBorder="1" applyAlignment="1">
      <alignment horizontal="center" vertical="center" wrapText="1"/>
    </xf>
    <xf numFmtId="0" fontId="5" fillId="0" borderId="22" xfId="0" applyNumberFormat="1" applyFont="1" applyBorder="1" applyAlignment="1">
      <alignment horizontal="center" vertical="center" wrapText="1"/>
    </xf>
    <xf numFmtId="0" fontId="5" fillId="0" borderId="23" xfId="0" applyNumberFormat="1" applyFont="1" applyBorder="1" applyAlignment="1">
      <alignment horizontal="center" vertical="center" wrapText="1"/>
    </xf>
    <xf numFmtId="0" fontId="5" fillId="0" borderId="18" xfId="0" applyNumberFormat="1" applyFont="1" applyBorder="1" applyAlignment="1">
      <alignment horizontal="center" vertical="center" wrapText="1"/>
    </xf>
    <xf numFmtId="0" fontId="5" fillId="0" borderId="19" xfId="0" applyNumberFormat="1" applyFont="1" applyBorder="1" applyAlignment="1">
      <alignment horizontal="center" vertical="center" wrapText="1"/>
    </xf>
    <xf numFmtId="0" fontId="5" fillId="0" borderId="30" xfId="0" applyNumberFormat="1" applyFont="1" applyBorder="1" applyAlignment="1">
      <alignment horizontal="center" vertical="center" wrapText="1"/>
    </xf>
    <xf numFmtId="0" fontId="5" fillId="0" borderId="31" xfId="0" applyNumberFormat="1" applyFont="1" applyBorder="1" applyAlignment="1">
      <alignment horizontal="center" vertical="center" wrapText="1"/>
    </xf>
    <xf numFmtId="0" fontId="0" fillId="0" borderId="61" xfId="0" applyBorder="1" applyAlignment="1">
      <alignment horizontal="centerContinuous" vertical="center"/>
    </xf>
    <xf numFmtId="0" fontId="0" fillId="0" borderId="64" xfId="0" applyNumberFormat="1" applyBorder="1" applyAlignment="1">
      <alignment horizontal="centerContinuous" vertical="center"/>
    </xf>
    <xf numFmtId="0" fontId="0" fillId="0" borderId="33" xfId="0" applyNumberFormat="1" applyBorder="1" applyAlignment="1">
      <alignment horizontal="left" vertical="center" indent="1"/>
    </xf>
    <xf numFmtId="0" fontId="5" fillId="0" borderId="33" xfId="0" applyNumberFormat="1" applyFont="1" applyBorder="1" applyAlignment="1">
      <alignment horizontal="center" vertical="center" wrapText="1"/>
    </xf>
    <xf numFmtId="0" fontId="5" fillId="0" borderId="34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3">
    <dxf>
      <alignment horizontal="center" vertical="center" textRotation="0" wrapText="1" indent="0" justifyLastLine="0" shrinkToFit="0" readingOrder="0"/>
    </dxf>
    <dxf>
      <numFmt numFmtId="3" formatCode="#,##0"/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E5E5"/>
      <color rgb="FF00FF00"/>
      <color rgb="FFFFFFFF"/>
      <color rgb="FFFFB9B9"/>
      <color rgb="FFE2EEE2"/>
      <color rgb="FFE9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15240</xdr:rowOff>
        </xdr:from>
        <xdr:to>
          <xdr:col>5</xdr:col>
          <xdr:colOff>0</xdr:colOff>
          <xdr:row>1</xdr:row>
          <xdr:rowOff>15240</xdr:rowOff>
        </xdr:to>
        <xdr:sp macro="" textlink="">
          <xdr:nvSpPr>
            <xdr:cNvPr id="1027" name="cmdComenz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0</xdr:row>
          <xdr:rowOff>175260</xdr:rowOff>
        </xdr:from>
        <xdr:to>
          <xdr:col>5</xdr:col>
          <xdr:colOff>274320</xdr:colOff>
          <xdr:row>1</xdr:row>
          <xdr:rowOff>129540</xdr:rowOff>
        </xdr:to>
        <xdr:sp macro="" textlink="">
          <xdr:nvSpPr>
            <xdr:cNvPr id="2049" name="cmdInsertpa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2AF6C1-420F-43C8-9C50-3ACA3590A1E7}" name="detalleRenglones" displayName="detalleRenglones" ref="A1:C6" totalsRowShown="0" headerRowDxfId="0">
  <tableColumns count="3">
    <tableColumn id="1" xr3:uid="{812797EF-A02A-4336-A1AB-3F37ABB3B1BD}" name="N° renglon" dataDxfId="2"/>
    <tableColumn id="2" xr3:uid="{653522FB-B38C-4937-A3AD-F78BA25DDECA}" name="Detalle"/>
    <tableColumn id="3" xr3:uid="{FF470F2B-A987-4270-A397-011CE2C09CD5}" name=" Cantidad" dataDxfId="1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438AD-4D9F-4BFE-8E8D-357DB25B42C4}">
  <sheetPr codeName="Hoja36">
    <tabColor theme="9" tint="-0.499984740745262"/>
  </sheetPr>
  <dimension ref="A4:H144"/>
  <sheetViews>
    <sheetView showGridLines="0" tabSelected="1" topLeftCell="A67" workbookViewId="0">
      <selection activeCell="E51" sqref="E51"/>
    </sheetView>
  </sheetViews>
  <sheetFormatPr baseColWidth="10" defaultRowHeight="14.4" x14ac:dyDescent="0.3"/>
  <cols>
    <col min="1" max="3" width="3" customWidth="1"/>
    <col min="4" max="4" width="38.77734375" customWidth="1"/>
    <col min="5" max="6" width="16.77734375" customWidth="1"/>
    <col min="7" max="7" width="20.77734375" customWidth="1"/>
    <col min="8" max="8" width="30.77734375" customWidth="1"/>
  </cols>
  <sheetData>
    <row r="4" spans="1:8" ht="15.6" x14ac:dyDescent="0.3">
      <c r="D4" s="28" t="s">
        <v>65</v>
      </c>
    </row>
    <row r="5" spans="1:8" ht="30" customHeight="1" x14ac:dyDescent="0.3">
      <c r="A5" s="32"/>
      <c r="B5" s="32"/>
      <c r="C5" s="32"/>
      <c r="D5" s="38" t="s">
        <v>17</v>
      </c>
      <c r="E5" s="39" t="s">
        <v>18</v>
      </c>
      <c r="F5" s="40"/>
      <c r="G5" s="41"/>
      <c r="H5" s="25" t="s">
        <v>37</v>
      </c>
    </row>
    <row r="6" spans="1:8" ht="25.05" customHeight="1" x14ac:dyDescent="0.3">
      <c r="B6" s="26" t="s">
        <v>19</v>
      </c>
      <c r="C6" s="27"/>
      <c r="D6" s="69">
        <v>6</v>
      </c>
      <c r="E6" s="42"/>
      <c r="F6" s="30"/>
      <c r="G6" s="31"/>
      <c r="H6" s="29">
        <v>0</v>
      </c>
    </row>
    <row r="7" spans="1:8" ht="19.95" customHeight="1" x14ac:dyDescent="0.3">
      <c r="A7" s="32"/>
      <c r="B7" s="50" t="s">
        <v>20</v>
      </c>
      <c r="C7" s="51" t="s">
        <v>39</v>
      </c>
      <c r="D7" s="52" t="s">
        <v>21</v>
      </c>
      <c r="E7" s="52" t="s">
        <v>22</v>
      </c>
      <c r="F7" s="52" t="s">
        <v>23</v>
      </c>
      <c r="G7" s="52" t="s">
        <v>24</v>
      </c>
      <c r="H7" s="53" t="s">
        <v>25</v>
      </c>
    </row>
    <row r="8" spans="1:8" x14ac:dyDescent="0.3">
      <c r="A8" s="32"/>
      <c r="B8" s="96">
        <v>6</v>
      </c>
      <c r="C8" s="97" t="s">
        <v>31</v>
      </c>
      <c r="D8" s="98" t="s">
        <v>63</v>
      </c>
      <c r="E8" s="57">
        <v>60</v>
      </c>
      <c r="F8" s="58">
        <v>538.20000000000005</v>
      </c>
      <c r="G8" s="58">
        <f>E8 * F8</f>
        <v>32292.000000000004</v>
      </c>
      <c r="H8" s="59"/>
    </row>
    <row r="9" spans="1:8" x14ac:dyDescent="0.3">
      <c r="A9" s="32"/>
      <c r="B9" s="99">
        <v>6</v>
      </c>
      <c r="C9" s="100" t="s">
        <v>31</v>
      </c>
      <c r="D9" s="101" t="s">
        <v>52</v>
      </c>
      <c r="E9" s="60">
        <v>60</v>
      </c>
      <c r="F9" s="61">
        <v>1080</v>
      </c>
      <c r="G9" s="61">
        <f>E9 * F9</f>
        <v>64800</v>
      </c>
      <c r="H9" s="62"/>
    </row>
    <row r="10" spans="1:8" x14ac:dyDescent="0.3">
      <c r="A10" s="32"/>
      <c r="B10" s="99">
        <v>6</v>
      </c>
      <c r="C10" s="100" t="s">
        <v>31</v>
      </c>
      <c r="D10" s="101" t="s">
        <v>50</v>
      </c>
      <c r="E10" s="60">
        <v>60</v>
      </c>
      <c r="F10" s="61">
        <v>1150</v>
      </c>
      <c r="G10" s="61">
        <f>E10 * F10</f>
        <v>69000</v>
      </c>
      <c r="H10" s="62"/>
    </row>
    <row r="11" spans="1:8" x14ac:dyDescent="0.3">
      <c r="A11" s="32"/>
      <c r="B11" s="93">
        <v>6</v>
      </c>
      <c r="C11" s="94" t="s">
        <v>31</v>
      </c>
      <c r="D11" s="95" t="s">
        <v>51</v>
      </c>
      <c r="E11" s="43">
        <v>60</v>
      </c>
      <c r="F11" s="44">
        <v>28000</v>
      </c>
      <c r="G11" s="44">
        <f>E11 * F11</f>
        <v>1680000</v>
      </c>
      <c r="H11" s="45"/>
    </row>
    <row r="12" spans="1:8" x14ac:dyDescent="0.3">
      <c r="E12" s="24"/>
    </row>
    <row r="14" spans="1:8" x14ac:dyDescent="0.3">
      <c r="A14" s="35"/>
      <c r="B14" s="35" t="s">
        <v>26</v>
      </c>
      <c r="C14" s="35"/>
      <c r="D14" s="36"/>
      <c r="E14" s="35"/>
      <c r="F14" s="35"/>
      <c r="G14" s="35"/>
      <c r="H14" s="35"/>
    </row>
    <row r="15" spans="1:8" x14ac:dyDescent="0.3">
      <c r="A15" s="35"/>
      <c r="B15" s="35"/>
      <c r="C15" s="35"/>
      <c r="D15" s="35"/>
      <c r="E15" s="35"/>
      <c r="F15" s="35"/>
      <c r="G15" s="35"/>
      <c r="H15" s="35"/>
    </row>
    <row r="16" spans="1:8" x14ac:dyDescent="0.3">
      <c r="A16" s="35"/>
      <c r="B16" s="35"/>
      <c r="C16" s="35"/>
      <c r="D16" s="35"/>
      <c r="E16" s="35"/>
      <c r="F16" s="35"/>
      <c r="G16" s="35"/>
      <c r="H16" s="35"/>
    </row>
    <row r="17" spans="1:8" x14ac:dyDescent="0.3">
      <c r="A17" s="35"/>
      <c r="B17" s="35" t="s">
        <v>27</v>
      </c>
      <c r="C17" s="35"/>
      <c r="D17" s="35"/>
      <c r="E17" s="36"/>
      <c r="F17" s="36"/>
      <c r="G17" s="36"/>
      <c r="H17" s="36"/>
    </row>
    <row r="18" spans="1:8" x14ac:dyDescent="0.3">
      <c r="A18" s="35"/>
      <c r="B18" s="35"/>
      <c r="C18" s="35"/>
      <c r="D18" s="35"/>
      <c r="E18" s="35"/>
      <c r="F18" s="35"/>
      <c r="G18" s="35"/>
      <c r="H18" s="35"/>
    </row>
    <row r="19" spans="1:8" x14ac:dyDescent="0.3">
      <c r="A19" s="35"/>
      <c r="B19" s="35"/>
      <c r="C19" s="35"/>
      <c r="D19" s="35"/>
      <c r="E19" s="35"/>
      <c r="F19" s="35"/>
      <c r="G19" s="35"/>
      <c r="H19" s="35"/>
    </row>
    <row r="20" spans="1:8" x14ac:dyDescent="0.3">
      <c r="A20" s="35"/>
      <c r="B20" s="35" t="s">
        <v>28</v>
      </c>
      <c r="C20" s="35"/>
      <c r="D20" s="35"/>
      <c r="E20" s="35"/>
      <c r="F20" s="35"/>
      <c r="G20" s="35"/>
      <c r="H20" s="35"/>
    </row>
    <row r="21" spans="1:8" x14ac:dyDescent="0.3">
      <c r="A21" s="35"/>
      <c r="B21" s="35"/>
      <c r="C21" s="35"/>
      <c r="D21" s="36"/>
      <c r="E21" s="36"/>
      <c r="F21" s="36"/>
      <c r="G21" s="36"/>
      <c r="H21" s="36"/>
    </row>
    <row r="22" spans="1:8" x14ac:dyDescent="0.3">
      <c r="A22" s="35"/>
      <c r="B22" s="35"/>
      <c r="C22" s="35"/>
      <c r="D22" s="34" t="s">
        <v>29</v>
      </c>
      <c r="E22" s="34"/>
      <c r="F22" s="34"/>
      <c r="G22" s="34"/>
      <c r="H22" s="34"/>
    </row>
    <row r="23" spans="1:8" x14ac:dyDescent="0.3">
      <c r="A23" s="37"/>
      <c r="B23" s="37"/>
      <c r="C23" s="37"/>
      <c r="D23" s="37"/>
      <c r="E23" s="37"/>
      <c r="F23" s="37"/>
      <c r="G23" s="37"/>
      <c r="H23" s="37"/>
    </row>
    <row r="27" spans="1:8" ht="15.6" x14ac:dyDescent="0.3">
      <c r="D27" s="28" t="s">
        <v>65</v>
      </c>
    </row>
    <row r="28" spans="1:8" ht="30" customHeight="1" x14ac:dyDescent="0.3">
      <c r="A28" s="32"/>
      <c r="B28" s="32"/>
      <c r="C28" s="32"/>
      <c r="D28" s="38" t="s">
        <v>17</v>
      </c>
      <c r="E28" s="39" t="s">
        <v>18</v>
      </c>
      <c r="F28" s="40"/>
      <c r="G28" s="41"/>
      <c r="H28" s="25" t="s">
        <v>37</v>
      </c>
    </row>
    <row r="29" spans="1:8" ht="25.05" customHeight="1" x14ac:dyDescent="0.3">
      <c r="B29" s="26" t="s">
        <v>19</v>
      </c>
      <c r="C29" s="27"/>
      <c r="D29" s="69">
        <v>8</v>
      </c>
      <c r="E29" s="42"/>
      <c r="F29" s="30"/>
      <c r="G29" s="31"/>
      <c r="H29" s="29">
        <v>0</v>
      </c>
    </row>
    <row r="30" spans="1:8" ht="19.95" customHeight="1" x14ac:dyDescent="0.3">
      <c r="A30" s="32"/>
      <c r="B30" s="50" t="s">
        <v>20</v>
      </c>
      <c r="C30" s="51" t="s">
        <v>39</v>
      </c>
      <c r="D30" s="52" t="s">
        <v>21</v>
      </c>
      <c r="E30" s="52" t="s">
        <v>22</v>
      </c>
      <c r="F30" s="52" t="s">
        <v>23</v>
      </c>
      <c r="G30" s="52" t="s">
        <v>24</v>
      </c>
      <c r="H30" s="53" t="s">
        <v>25</v>
      </c>
    </row>
    <row r="31" spans="1:8" x14ac:dyDescent="0.3">
      <c r="A31" s="32"/>
      <c r="B31" s="96">
        <v>8</v>
      </c>
      <c r="C31" s="97" t="s">
        <v>31</v>
      </c>
      <c r="D31" s="98" t="s">
        <v>50</v>
      </c>
      <c r="E31" s="57">
        <v>35</v>
      </c>
      <c r="F31" s="58">
        <v>1438</v>
      </c>
      <c r="G31" s="58">
        <f>E31 * F31</f>
        <v>50330</v>
      </c>
      <c r="H31" s="59"/>
    </row>
    <row r="32" spans="1:8" x14ac:dyDescent="0.3">
      <c r="A32" s="32"/>
      <c r="B32" s="99">
        <v>8</v>
      </c>
      <c r="C32" s="100" t="s">
        <v>31</v>
      </c>
      <c r="D32" s="101" t="s">
        <v>63</v>
      </c>
      <c r="E32" s="60">
        <v>35</v>
      </c>
      <c r="F32" s="61">
        <v>11661</v>
      </c>
      <c r="G32" s="61">
        <f>E32 * F32</f>
        <v>408135</v>
      </c>
      <c r="H32" s="62"/>
    </row>
    <row r="33" spans="1:8" x14ac:dyDescent="0.3">
      <c r="A33" s="32"/>
      <c r="B33" s="93">
        <v>8</v>
      </c>
      <c r="C33" s="94" t="s">
        <v>31</v>
      </c>
      <c r="D33" s="95" t="s">
        <v>51</v>
      </c>
      <c r="E33" s="43">
        <v>35</v>
      </c>
      <c r="F33" s="44">
        <v>40000</v>
      </c>
      <c r="G33" s="44">
        <f>E33 * F33</f>
        <v>1400000</v>
      </c>
      <c r="H33" s="45"/>
    </row>
    <row r="34" spans="1:8" x14ac:dyDescent="0.3">
      <c r="E34" s="24"/>
    </row>
    <row r="36" spans="1:8" x14ac:dyDescent="0.3">
      <c r="A36" s="35"/>
      <c r="B36" s="35" t="s">
        <v>26</v>
      </c>
      <c r="C36" s="35"/>
      <c r="D36" s="36"/>
      <c r="E36" s="35"/>
      <c r="F36" s="35"/>
      <c r="G36" s="35"/>
      <c r="H36" s="35"/>
    </row>
    <row r="37" spans="1:8" x14ac:dyDescent="0.3">
      <c r="A37" s="35"/>
      <c r="B37" s="35"/>
      <c r="C37" s="35"/>
      <c r="D37" s="35"/>
      <c r="E37" s="35"/>
      <c r="F37" s="35"/>
      <c r="G37" s="35"/>
      <c r="H37" s="35"/>
    </row>
    <row r="38" spans="1:8" x14ac:dyDescent="0.3">
      <c r="A38" s="35"/>
      <c r="B38" s="35"/>
      <c r="C38" s="35"/>
      <c r="D38" s="35"/>
      <c r="E38" s="35"/>
      <c r="F38" s="35"/>
      <c r="G38" s="35"/>
      <c r="H38" s="35"/>
    </row>
    <row r="39" spans="1:8" x14ac:dyDescent="0.3">
      <c r="A39" s="35"/>
      <c r="B39" s="35" t="s">
        <v>27</v>
      </c>
      <c r="C39" s="35"/>
      <c r="D39" s="35"/>
      <c r="E39" s="36"/>
      <c r="F39" s="36"/>
      <c r="G39" s="36"/>
      <c r="H39" s="36"/>
    </row>
    <row r="40" spans="1:8" x14ac:dyDescent="0.3">
      <c r="A40" s="35"/>
      <c r="B40" s="35"/>
      <c r="C40" s="35"/>
      <c r="D40" s="35"/>
      <c r="E40" s="35"/>
      <c r="F40" s="35"/>
      <c r="G40" s="35"/>
      <c r="H40" s="35"/>
    </row>
    <row r="41" spans="1:8" x14ac:dyDescent="0.3">
      <c r="A41" s="35"/>
      <c r="B41" s="35"/>
      <c r="C41" s="35"/>
      <c r="D41" s="35"/>
      <c r="E41" s="35"/>
      <c r="F41" s="35"/>
      <c r="G41" s="35"/>
      <c r="H41" s="35"/>
    </row>
    <row r="42" spans="1:8" x14ac:dyDescent="0.3">
      <c r="A42" s="35"/>
      <c r="B42" s="35" t="s">
        <v>28</v>
      </c>
      <c r="C42" s="35"/>
      <c r="D42" s="35"/>
      <c r="E42" s="35"/>
      <c r="F42" s="35"/>
      <c r="G42" s="35"/>
      <c r="H42" s="35"/>
    </row>
    <row r="43" spans="1:8" x14ac:dyDescent="0.3">
      <c r="A43" s="35"/>
      <c r="B43" s="35"/>
      <c r="C43" s="35"/>
      <c r="D43" s="36"/>
      <c r="E43" s="36"/>
      <c r="F43" s="36"/>
      <c r="G43" s="36"/>
      <c r="H43" s="36"/>
    </row>
    <row r="44" spans="1:8" x14ac:dyDescent="0.3">
      <c r="A44" s="35"/>
      <c r="B44" s="35"/>
      <c r="C44" s="35"/>
      <c r="D44" s="34" t="s">
        <v>29</v>
      </c>
      <c r="E44" s="34"/>
      <c r="F44" s="34"/>
      <c r="G44" s="34"/>
      <c r="H44" s="34"/>
    </row>
    <row r="45" spans="1:8" x14ac:dyDescent="0.3">
      <c r="A45" s="37"/>
      <c r="B45" s="37"/>
      <c r="C45" s="37"/>
      <c r="D45" s="37"/>
      <c r="E45" s="37"/>
      <c r="F45" s="37"/>
      <c r="G45" s="37"/>
      <c r="H45" s="37"/>
    </row>
    <row r="49" spans="1:8" ht="15.6" x14ac:dyDescent="0.3">
      <c r="D49" s="28" t="s">
        <v>65</v>
      </c>
    </row>
    <row r="50" spans="1:8" ht="30" customHeight="1" x14ac:dyDescent="0.3">
      <c r="A50" s="32"/>
      <c r="B50" s="32"/>
      <c r="C50" s="32"/>
      <c r="D50" s="38" t="s">
        <v>17</v>
      </c>
      <c r="E50" s="39" t="s">
        <v>18</v>
      </c>
      <c r="F50" s="40"/>
      <c r="G50" s="41"/>
      <c r="H50" s="25" t="s">
        <v>37</v>
      </c>
    </row>
    <row r="51" spans="1:8" ht="25.05" customHeight="1" x14ac:dyDescent="0.3">
      <c r="B51" s="26" t="s">
        <v>19</v>
      </c>
      <c r="C51" s="27"/>
      <c r="D51" s="69">
        <v>29</v>
      </c>
      <c r="E51" s="42"/>
      <c r="F51" s="30"/>
      <c r="G51" s="31"/>
      <c r="H51" s="29">
        <v>0</v>
      </c>
    </row>
    <row r="52" spans="1:8" ht="19.95" customHeight="1" x14ac:dyDescent="0.3">
      <c r="A52" s="32"/>
      <c r="B52" s="50" t="s">
        <v>20</v>
      </c>
      <c r="C52" s="51" t="s">
        <v>39</v>
      </c>
      <c r="D52" s="52" t="s">
        <v>21</v>
      </c>
      <c r="E52" s="52" t="s">
        <v>22</v>
      </c>
      <c r="F52" s="52" t="s">
        <v>23</v>
      </c>
      <c r="G52" s="52" t="s">
        <v>24</v>
      </c>
      <c r="H52" s="53" t="s">
        <v>25</v>
      </c>
    </row>
    <row r="53" spans="1:8" x14ac:dyDescent="0.3">
      <c r="A53" s="32"/>
      <c r="B53" s="96">
        <v>29</v>
      </c>
      <c r="C53" s="97" t="s">
        <v>31</v>
      </c>
      <c r="D53" s="98" t="s">
        <v>63</v>
      </c>
      <c r="E53" s="57">
        <v>800</v>
      </c>
      <c r="F53" s="58">
        <v>170.43</v>
      </c>
      <c r="G53" s="58">
        <f>E53 * F53</f>
        <v>136344</v>
      </c>
      <c r="H53" s="59" t="s">
        <v>61</v>
      </c>
    </row>
    <row r="54" spans="1:8" x14ac:dyDescent="0.3">
      <c r="A54" s="32"/>
      <c r="B54" s="99">
        <v>29</v>
      </c>
      <c r="C54" s="100" t="s">
        <v>31</v>
      </c>
      <c r="D54" s="101" t="s">
        <v>50</v>
      </c>
      <c r="E54" s="60">
        <v>800</v>
      </c>
      <c r="F54" s="61">
        <v>199</v>
      </c>
      <c r="G54" s="61">
        <f>E54 * F54</f>
        <v>159200</v>
      </c>
      <c r="H54" s="62" t="s">
        <v>61</v>
      </c>
    </row>
    <row r="55" spans="1:8" x14ac:dyDescent="0.3">
      <c r="A55" s="32"/>
      <c r="B55" s="93">
        <v>29</v>
      </c>
      <c r="C55" s="94" t="s">
        <v>31</v>
      </c>
      <c r="D55" s="95" t="s">
        <v>51</v>
      </c>
      <c r="E55" s="43">
        <v>800</v>
      </c>
      <c r="F55" s="44">
        <v>220</v>
      </c>
      <c r="G55" s="44">
        <f>E55 * F55</f>
        <v>176000</v>
      </c>
      <c r="H55" s="45" t="s">
        <v>62</v>
      </c>
    </row>
    <row r="56" spans="1:8" x14ac:dyDescent="0.3">
      <c r="E56" s="24"/>
    </row>
    <row r="58" spans="1:8" x14ac:dyDescent="0.3">
      <c r="A58" s="35"/>
      <c r="B58" s="35" t="s">
        <v>26</v>
      </c>
      <c r="C58" s="35"/>
      <c r="D58" s="36"/>
      <c r="E58" s="35"/>
      <c r="F58" s="35"/>
      <c r="G58" s="35"/>
      <c r="H58" s="35"/>
    </row>
    <row r="59" spans="1:8" x14ac:dyDescent="0.3">
      <c r="A59" s="35"/>
      <c r="B59" s="35"/>
      <c r="C59" s="35"/>
      <c r="D59" s="35"/>
      <c r="E59" s="35"/>
      <c r="F59" s="35"/>
      <c r="G59" s="35"/>
      <c r="H59" s="35"/>
    </row>
    <row r="60" spans="1:8" x14ac:dyDescent="0.3">
      <c r="A60" s="35"/>
      <c r="B60" s="35"/>
      <c r="C60" s="35"/>
      <c r="D60" s="35"/>
      <c r="E60" s="35"/>
      <c r="F60" s="35"/>
      <c r="G60" s="35"/>
      <c r="H60" s="35"/>
    </row>
    <row r="61" spans="1:8" x14ac:dyDescent="0.3">
      <c r="A61" s="35"/>
      <c r="B61" s="35" t="s">
        <v>27</v>
      </c>
      <c r="C61" s="35"/>
      <c r="D61" s="35"/>
      <c r="E61" s="36"/>
      <c r="F61" s="36"/>
      <c r="G61" s="36"/>
      <c r="H61" s="36"/>
    </row>
    <row r="62" spans="1:8" x14ac:dyDescent="0.3">
      <c r="A62" s="35"/>
      <c r="B62" s="35"/>
      <c r="C62" s="35"/>
      <c r="D62" s="35"/>
      <c r="E62" s="35"/>
      <c r="F62" s="35"/>
      <c r="G62" s="35"/>
      <c r="H62" s="35"/>
    </row>
    <row r="63" spans="1:8" x14ac:dyDescent="0.3">
      <c r="A63" s="35"/>
      <c r="B63" s="35"/>
      <c r="C63" s="35"/>
      <c r="D63" s="35"/>
      <c r="E63" s="35"/>
      <c r="F63" s="35"/>
      <c r="G63" s="35"/>
      <c r="H63" s="35"/>
    </row>
    <row r="64" spans="1:8" x14ac:dyDescent="0.3">
      <c r="A64" s="35"/>
      <c r="B64" s="35" t="s">
        <v>28</v>
      </c>
      <c r="C64" s="35"/>
      <c r="D64" s="35"/>
      <c r="E64" s="35"/>
      <c r="F64" s="35"/>
      <c r="G64" s="35"/>
      <c r="H64" s="35"/>
    </row>
    <row r="65" spans="1:8" x14ac:dyDescent="0.3">
      <c r="A65" s="35"/>
      <c r="B65" s="35"/>
      <c r="C65" s="35"/>
      <c r="D65" s="36"/>
      <c r="E65" s="36"/>
      <c r="F65" s="36"/>
      <c r="G65" s="36"/>
      <c r="H65" s="36"/>
    </row>
    <row r="66" spans="1:8" x14ac:dyDescent="0.3">
      <c r="A66" s="35"/>
      <c r="B66" s="35"/>
      <c r="C66" s="35"/>
      <c r="D66" s="34" t="s">
        <v>29</v>
      </c>
      <c r="E66" s="34"/>
      <c r="F66" s="34"/>
      <c r="G66" s="34"/>
      <c r="H66" s="34"/>
    </row>
    <row r="67" spans="1:8" x14ac:dyDescent="0.3">
      <c r="A67" s="37"/>
      <c r="B67" s="37"/>
      <c r="C67" s="37"/>
      <c r="D67" s="37"/>
      <c r="E67" s="37"/>
      <c r="F67" s="37"/>
      <c r="G67" s="37"/>
      <c r="H67" s="37"/>
    </row>
    <row r="71" spans="1:8" ht="15.6" x14ac:dyDescent="0.3">
      <c r="D71" s="28" t="s">
        <v>65</v>
      </c>
    </row>
    <row r="72" spans="1:8" ht="30" customHeight="1" x14ac:dyDescent="0.3">
      <c r="A72" s="32"/>
      <c r="B72" s="32"/>
      <c r="C72" s="32"/>
      <c r="D72" s="38" t="s">
        <v>17</v>
      </c>
      <c r="E72" s="39" t="s">
        <v>18</v>
      </c>
      <c r="F72" s="40"/>
      <c r="G72" s="41"/>
      <c r="H72" s="25" t="s">
        <v>37</v>
      </c>
    </row>
    <row r="73" spans="1:8" ht="25.05" customHeight="1" x14ac:dyDescent="0.3">
      <c r="B73" s="26" t="s">
        <v>19</v>
      </c>
      <c r="C73" s="27"/>
      <c r="D73" s="69">
        <v>30</v>
      </c>
      <c r="E73" s="42"/>
      <c r="F73" s="30"/>
      <c r="G73" s="31"/>
      <c r="H73" s="29">
        <v>0</v>
      </c>
    </row>
    <row r="74" spans="1:8" ht="19.95" customHeight="1" x14ac:dyDescent="0.3">
      <c r="A74" s="32"/>
      <c r="B74" s="50" t="s">
        <v>20</v>
      </c>
      <c r="C74" s="51" t="s">
        <v>39</v>
      </c>
      <c r="D74" s="52" t="s">
        <v>21</v>
      </c>
      <c r="E74" s="52" t="s">
        <v>22</v>
      </c>
      <c r="F74" s="52" t="s">
        <v>23</v>
      </c>
      <c r="G74" s="52" t="s">
        <v>24</v>
      </c>
      <c r="H74" s="53" t="s">
        <v>25</v>
      </c>
    </row>
    <row r="75" spans="1:8" x14ac:dyDescent="0.3">
      <c r="A75" s="32"/>
      <c r="B75" s="96">
        <v>30</v>
      </c>
      <c r="C75" s="97" t="s">
        <v>31</v>
      </c>
      <c r="D75" s="98" t="s">
        <v>50</v>
      </c>
      <c r="E75" s="57">
        <v>800</v>
      </c>
      <c r="F75" s="58">
        <v>220</v>
      </c>
      <c r="G75" s="58">
        <f>E75 * F75</f>
        <v>176000</v>
      </c>
      <c r="H75" s="59" t="s">
        <v>61</v>
      </c>
    </row>
    <row r="76" spans="1:8" x14ac:dyDescent="0.3">
      <c r="A76" s="32"/>
      <c r="B76" s="99">
        <v>30</v>
      </c>
      <c r="C76" s="100" t="s">
        <v>31</v>
      </c>
      <c r="D76" s="101" t="s">
        <v>51</v>
      </c>
      <c r="E76" s="60">
        <v>800</v>
      </c>
      <c r="F76" s="61">
        <v>220</v>
      </c>
      <c r="G76" s="61">
        <f>E76 * F76</f>
        <v>176000</v>
      </c>
      <c r="H76" s="62" t="s">
        <v>62</v>
      </c>
    </row>
    <row r="77" spans="1:8" x14ac:dyDescent="0.3">
      <c r="A77" s="32"/>
      <c r="B77" s="93">
        <v>30</v>
      </c>
      <c r="C77" s="94" t="s">
        <v>31</v>
      </c>
      <c r="D77" s="95" t="s">
        <v>63</v>
      </c>
      <c r="E77" s="43">
        <v>800</v>
      </c>
      <c r="F77" s="44">
        <v>224.25</v>
      </c>
      <c r="G77" s="44">
        <f>E77 * F77</f>
        <v>179400</v>
      </c>
      <c r="H77" s="45" t="s">
        <v>61</v>
      </c>
    </row>
    <row r="78" spans="1:8" x14ac:dyDescent="0.3">
      <c r="E78" s="24"/>
    </row>
    <row r="80" spans="1:8" x14ac:dyDescent="0.3">
      <c r="A80" s="35"/>
      <c r="B80" s="35" t="s">
        <v>26</v>
      </c>
      <c r="C80" s="35"/>
      <c r="D80" s="36"/>
      <c r="E80" s="35"/>
      <c r="F80" s="35"/>
      <c r="G80" s="35"/>
      <c r="H80" s="35"/>
    </row>
    <row r="81" spans="1:8" x14ac:dyDescent="0.3">
      <c r="A81" s="35"/>
      <c r="B81" s="35"/>
      <c r="C81" s="35"/>
      <c r="D81" s="35"/>
      <c r="E81" s="35"/>
      <c r="F81" s="35"/>
      <c r="G81" s="35"/>
      <c r="H81" s="35"/>
    </row>
    <row r="82" spans="1:8" x14ac:dyDescent="0.3">
      <c r="A82" s="35"/>
      <c r="B82" s="35"/>
      <c r="C82" s="35"/>
      <c r="D82" s="35"/>
      <c r="E82" s="35"/>
      <c r="F82" s="35"/>
      <c r="G82" s="35"/>
      <c r="H82" s="35"/>
    </row>
    <row r="83" spans="1:8" x14ac:dyDescent="0.3">
      <c r="A83" s="35"/>
      <c r="B83" s="35" t="s">
        <v>27</v>
      </c>
      <c r="C83" s="35"/>
      <c r="D83" s="35"/>
      <c r="E83" s="36"/>
      <c r="F83" s="36"/>
      <c r="G83" s="36"/>
      <c r="H83" s="36"/>
    </row>
    <row r="84" spans="1:8" x14ac:dyDescent="0.3">
      <c r="A84" s="35"/>
      <c r="B84" s="35"/>
      <c r="C84" s="35"/>
      <c r="D84" s="35"/>
      <c r="E84" s="35"/>
      <c r="F84" s="35"/>
      <c r="G84" s="35"/>
      <c r="H84" s="35"/>
    </row>
    <row r="85" spans="1:8" x14ac:dyDescent="0.3">
      <c r="A85" s="35"/>
      <c r="B85" s="35"/>
      <c r="C85" s="35"/>
      <c r="D85" s="35"/>
      <c r="E85" s="35"/>
      <c r="F85" s="35"/>
      <c r="G85" s="35"/>
      <c r="H85" s="35"/>
    </row>
    <row r="86" spans="1:8" x14ac:dyDescent="0.3">
      <c r="A86" s="35"/>
      <c r="B86" s="35" t="s">
        <v>28</v>
      </c>
      <c r="C86" s="35"/>
      <c r="D86" s="35"/>
      <c r="E86" s="35"/>
      <c r="F86" s="35"/>
      <c r="G86" s="35"/>
      <c r="H86" s="35"/>
    </row>
    <row r="87" spans="1:8" x14ac:dyDescent="0.3">
      <c r="A87" s="35"/>
      <c r="B87" s="35"/>
      <c r="C87" s="35"/>
      <c r="D87" s="36"/>
      <c r="E87" s="36"/>
      <c r="F87" s="36"/>
      <c r="G87" s="36"/>
      <c r="H87" s="36"/>
    </row>
    <row r="88" spans="1:8" x14ac:dyDescent="0.3">
      <c r="A88" s="35"/>
      <c r="B88" s="35"/>
      <c r="C88" s="35"/>
      <c r="D88" s="34" t="s">
        <v>29</v>
      </c>
      <c r="E88" s="34"/>
      <c r="F88" s="34"/>
      <c r="G88" s="34"/>
      <c r="H88" s="34"/>
    </row>
    <row r="89" spans="1:8" x14ac:dyDescent="0.3">
      <c r="A89" s="37"/>
      <c r="B89" s="37"/>
      <c r="C89" s="37"/>
      <c r="D89" s="37"/>
      <c r="E89" s="37"/>
      <c r="F89" s="37"/>
      <c r="G89" s="37"/>
      <c r="H89" s="37"/>
    </row>
    <row r="93" spans="1:8" ht="15.6" x14ac:dyDescent="0.3">
      <c r="D93" s="28" t="s">
        <v>65</v>
      </c>
    </row>
    <row r="94" spans="1:8" ht="30" customHeight="1" x14ac:dyDescent="0.3">
      <c r="A94" s="32"/>
      <c r="B94" s="32"/>
      <c r="C94" s="32"/>
      <c r="D94" s="38" t="s">
        <v>17</v>
      </c>
      <c r="E94" s="39" t="s">
        <v>18</v>
      </c>
      <c r="F94" s="40"/>
      <c r="G94" s="41"/>
      <c r="H94" s="25" t="s">
        <v>37</v>
      </c>
    </row>
    <row r="95" spans="1:8" ht="25.05" customHeight="1" x14ac:dyDescent="0.3">
      <c r="B95" s="26" t="s">
        <v>19</v>
      </c>
      <c r="C95" s="27"/>
      <c r="D95" s="69">
        <v>31</v>
      </c>
      <c r="E95" s="42"/>
      <c r="F95" s="30"/>
      <c r="G95" s="31"/>
      <c r="H95" s="29">
        <v>0</v>
      </c>
    </row>
    <row r="96" spans="1:8" ht="19.95" customHeight="1" x14ac:dyDescent="0.3">
      <c r="A96" s="32"/>
      <c r="B96" s="50" t="s">
        <v>20</v>
      </c>
      <c r="C96" s="51" t="s">
        <v>39</v>
      </c>
      <c r="D96" s="52" t="s">
        <v>21</v>
      </c>
      <c r="E96" s="52" t="s">
        <v>22</v>
      </c>
      <c r="F96" s="52" t="s">
        <v>23</v>
      </c>
      <c r="G96" s="52" t="s">
        <v>24</v>
      </c>
      <c r="H96" s="53" t="s">
        <v>25</v>
      </c>
    </row>
    <row r="97" spans="1:8" x14ac:dyDescent="0.3">
      <c r="A97" s="32"/>
      <c r="B97" s="96">
        <v>31</v>
      </c>
      <c r="C97" s="97" t="s">
        <v>31</v>
      </c>
      <c r="D97" s="98" t="s">
        <v>51</v>
      </c>
      <c r="E97" s="57">
        <v>300</v>
      </c>
      <c r="F97" s="58">
        <v>350</v>
      </c>
      <c r="G97" s="58">
        <f>E97 * F97</f>
        <v>105000</v>
      </c>
      <c r="H97" s="59" t="s">
        <v>62</v>
      </c>
    </row>
    <row r="98" spans="1:8" x14ac:dyDescent="0.3">
      <c r="A98" s="32"/>
      <c r="B98" s="99">
        <v>31</v>
      </c>
      <c r="C98" s="100" t="s">
        <v>31</v>
      </c>
      <c r="D98" s="101" t="s">
        <v>50</v>
      </c>
      <c r="E98" s="60">
        <v>300</v>
      </c>
      <c r="F98" s="61">
        <v>450</v>
      </c>
      <c r="G98" s="61">
        <f>E98 * F98</f>
        <v>135000</v>
      </c>
      <c r="H98" s="62" t="s">
        <v>61</v>
      </c>
    </row>
    <row r="99" spans="1:8" x14ac:dyDescent="0.3">
      <c r="A99" s="32"/>
      <c r="B99" s="93">
        <v>31</v>
      </c>
      <c r="C99" s="94" t="s">
        <v>31</v>
      </c>
      <c r="D99" s="95" t="s">
        <v>63</v>
      </c>
      <c r="E99" s="43">
        <v>300</v>
      </c>
      <c r="F99" s="44">
        <v>986.7</v>
      </c>
      <c r="G99" s="44">
        <f>E99 * F99</f>
        <v>296010</v>
      </c>
      <c r="H99" s="45" t="s">
        <v>62</v>
      </c>
    </row>
    <row r="100" spans="1:8" x14ac:dyDescent="0.3">
      <c r="E100" s="24"/>
    </row>
    <row r="102" spans="1:8" x14ac:dyDescent="0.3">
      <c r="A102" s="35"/>
      <c r="B102" s="35" t="s">
        <v>26</v>
      </c>
      <c r="C102" s="35"/>
      <c r="D102" s="36"/>
      <c r="E102" s="35"/>
      <c r="F102" s="35"/>
      <c r="G102" s="35"/>
      <c r="H102" s="35"/>
    </row>
    <row r="103" spans="1:8" x14ac:dyDescent="0.3">
      <c r="A103" s="35"/>
      <c r="B103" s="35"/>
      <c r="C103" s="35"/>
      <c r="D103" s="35"/>
      <c r="E103" s="35"/>
      <c r="F103" s="35"/>
      <c r="G103" s="35"/>
      <c r="H103" s="35"/>
    </row>
    <row r="104" spans="1:8" x14ac:dyDescent="0.3">
      <c r="A104" s="35"/>
      <c r="B104" s="35"/>
      <c r="C104" s="35"/>
      <c r="D104" s="35"/>
      <c r="E104" s="35"/>
      <c r="F104" s="35"/>
      <c r="G104" s="35"/>
      <c r="H104" s="35"/>
    </row>
    <row r="105" spans="1:8" x14ac:dyDescent="0.3">
      <c r="A105" s="35"/>
      <c r="B105" s="35" t="s">
        <v>27</v>
      </c>
      <c r="C105" s="35"/>
      <c r="D105" s="35"/>
      <c r="E105" s="36"/>
      <c r="F105" s="36"/>
      <c r="G105" s="36"/>
      <c r="H105" s="36"/>
    </row>
    <row r="106" spans="1:8" x14ac:dyDescent="0.3">
      <c r="A106" s="35"/>
      <c r="B106" s="35"/>
      <c r="C106" s="35"/>
      <c r="D106" s="35"/>
      <c r="E106" s="35"/>
      <c r="F106" s="35"/>
      <c r="G106" s="35"/>
      <c r="H106" s="35"/>
    </row>
    <row r="107" spans="1:8" x14ac:dyDescent="0.3">
      <c r="A107" s="35"/>
      <c r="B107" s="35"/>
      <c r="C107" s="35"/>
      <c r="D107" s="35"/>
      <c r="E107" s="35"/>
      <c r="F107" s="35"/>
      <c r="G107" s="35"/>
      <c r="H107" s="35"/>
    </row>
    <row r="108" spans="1:8" x14ac:dyDescent="0.3">
      <c r="A108" s="35"/>
      <c r="B108" s="35" t="s">
        <v>28</v>
      </c>
      <c r="C108" s="35"/>
      <c r="D108" s="35"/>
      <c r="E108" s="35"/>
      <c r="F108" s="35"/>
      <c r="G108" s="35"/>
      <c r="H108" s="35"/>
    </row>
    <row r="109" spans="1:8" x14ac:dyDescent="0.3">
      <c r="A109" s="35"/>
      <c r="B109" s="35"/>
      <c r="C109" s="35"/>
      <c r="D109" s="36"/>
      <c r="E109" s="36"/>
      <c r="F109" s="36"/>
      <c r="G109" s="36"/>
      <c r="H109" s="36"/>
    </row>
    <row r="110" spans="1:8" x14ac:dyDescent="0.3">
      <c r="A110" s="35"/>
      <c r="B110" s="35"/>
      <c r="C110" s="35"/>
      <c r="D110" s="34" t="s">
        <v>29</v>
      </c>
      <c r="E110" s="34"/>
      <c r="F110" s="34"/>
      <c r="G110" s="34"/>
      <c r="H110" s="34"/>
    </row>
    <row r="111" spans="1:8" x14ac:dyDescent="0.3">
      <c r="A111" s="37"/>
      <c r="B111" s="37"/>
      <c r="C111" s="37"/>
      <c r="D111" s="37"/>
      <c r="E111" s="37"/>
      <c r="F111" s="37"/>
      <c r="G111" s="37"/>
      <c r="H111" s="37"/>
    </row>
    <row r="115" spans="2:8" ht="15.6" x14ac:dyDescent="0.3">
      <c r="D115" s="76" t="s">
        <v>30</v>
      </c>
    </row>
    <row r="116" spans="2:8" ht="21" x14ac:dyDescent="0.3">
      <c r="C116" s="77" t="s">
        <v>36</v>
      </c>
      <c r="E116" s="20"/>
      <c r="F116" s="20"/>
      <c r="G116" s="20"/>
      <c r="H116" s="20"/>
    </row>
    <row r="117" spans="2:8" x14ac:dyDescent="0.3">
      <c r="B117" s="102" t="s">
        <v>19</v>
      </c>
      <c r="C117" s="103"/>
      <c r="D117" s="104" t="s">
        <v>18</v>
      </c>
      <c r="E117" s="104"/>
      <c r="F117" s="104"/>
      <c r="G117" s="104"/>
      <c r="H117" s="105" t="s">
        <v>37</v>
      </c>
    </row>
    <row r="118" spans="2:8" x14ac:dyDescent="0.3">
      <c r="B118" s="106">
        <v>1</v>
      </c>
      <c r="C118" s="107"/>
      <c r="D118" s="108" t="s">
        <v>53</v>
      </c>
      <c r="E118" s="109"/>
      <c r="F118" s="109"/>
      <c r="G118" s="110"/>
      <c r="H118" s="111">
        <v>60</v>
      </c>
    </row>
    <row r="119" spans="2:8" x14ac:dyDescent="0.3">
      <c r="B119" s="118">
        <v>2</v>
      </c>
      <c r="C119" s="119"/>
      <c r="D119" s="120" t="s">
        <v>54</v>
      </c>
      <c r="E119" s="121"/>
      <c r="F119" s="121"/>
      <c r="G119" s="122"/>
      <c r="H119" s="123">
        <v>35</v>
      </c>
    </row>
    <row r="120" spans="2:8" x14ac:dyDescent="0.3">
      <c r="B120" s="124">
        <v>3</v>
      </c>
      <c r="C120" s="125"/>
      <c r="D120" s="126" t="s">
        <v>55</v>
      </c>
      <c r="E120" s="127"/>
      <c r="F120" s="127"/>
      <c r="G120" s="128"/>
      <c r="H120" s="129">
        <v>800</v>
      </c>
    </row>
    <row r="121" spans="2:8" x14ac:dyDescent="0.3">
      <c r="B121" s="124">
        <v>4</v>
      </c>
      <c r="C121" s="125"/>
      <c r="D121" s="126" t="s">
        <v>56</v>
      </c>
      <c r="E121" s="127"/>
      <c r="F121" s="127"/>
      <c r="G121" s="128"/>
      <c r="H121" s="129">
        <v>800</v>
      </c>
    </row>
    <row r="122" spans="2:8" x14ac:dyDescent="0.3">
      <c r="B122" s="112">
        <v>5</v>
      </c>
      <c r="C122" s="113"/>
      <c r="D122" s="114" t="s">
        <v>57</v>
      </c>
      <c r="E122" s="115"/>
      <c r="F122" s="115"/>
      <c r="G122" s="116"/>
      <c r="H122" s="117">
        <v>300</v>
      </c>
    </row>
    <row r="127" spans="2:8" x14ac:dyDescent="0.3">
      <c r="B127" s="35" t="s">
        <v>26</v>
      </c>
      <c r="C127" s="35"/>
      <c r="D127" s="36"/>
      <c r="E127" s="35"/>
      <c r="F127" s="35"/>
      <c r="G127" s="35"/>
      <c r="H127" s="35"/>
    </row>
    <row r="128" spans="2:8" x14ac:dyDescent="0.3">
      <c r="B128" s="35"/>
      <c r="C128" s="35"/>
      <c r="D128" s="35"/>
      <c r="E128" s="35"/>
      <c r="F128" s="35"/>
      <c r="G128" s="35"/>
      <c r="H128" s="35"/>
    </row>
    <row r="129" spans="1:8" x14ac:dyDescent="0.3">
      <c r="B129" s="35"/>
      <c r="C129" s="35"/>
      <c r="D129" s="35"/>
      <c r="E129" s="35"/>
      <c r="F129" s="35"/>
      <c r="G129" s="35"/>
      <c r="H129" s="35"/>
    </row>
    <row r="130" spans="1:8" x14ac:dyDescent="0.3">
      <c r="B130" s="35"/>
      <c r="C130" s="35"/>
      <c r="D130" s="35"/>
      <c r="E130" s="35"/>
      <c r="F130" s="35"/>
      <c r="G130" s="35"/>
      <c r="H130" s="35"/>
    </row>
    <row r="131" spans="1:8" x14ac:dyDescent="0.3">
      <c r="B131" s="35"/>
      <c r="C131" s="35"/>
      <c r="D131" s="35"/>
      <c r="E131" s="35"/>
      <c r="F131" s="35"/>
      <c r="G131" s="35"/>
      <c r="H131" s="35"/>
    </row>
    <row r="132" spans="1:8" x14ac:dyDescent="0.3">
      <c r="B132" s="35" t="s">
        <v>28</v>
      </c>
      <c r="C132" s="35"/>
      <c r="D132" s="35"/>
      <c r="E132" s="35"/>
      <c r="F132" s="35"/>
      <c r="G132" s="35"/>
      <c r="H132" s="35"/>
    </row>
    <row r="133" spans="1:8" x14ac:dyDescent="0.3">
      <c r="B133" s="35"/>
      <c r="C133" s="35"/>
      <c r="D133" s="36"/>
      <c r="E133" s="36"/>
      <c r="F133" s="36"/>
      <c r="G133" s="36"/>
      <c r="H133" s="36"/>
    </row>
    <row r="134" spans="1:8" x14ac:dyDescent="0.3">
      <c r="B134" s="35"/>
      <c r="C134" s="35"/>
      <c r="D134" s="34" t="s">
        <v>29</v>
      </c>
      <c r="E134" s="34"/>
      <c r="F134" s="34"/>
      <c r="G134" s="34"/>
      <c r="H134" s="34"/>
    </row>
    <row r="137" spans="1:8" ht="15.6" x14ac:dyDescent="0.3">
      <c r="D137" s="76" t="s">
        <v>30</v>
      </c>
    </row>
    <row r="138" spans="1:8" ht="21" x14ac:dyDescent="0.3">
      <c r="C138" s="77" t="s">
        <v>42</v>
      </c>
    </row>
    <row r="139" spans="1:8" x14ac:dyDescent="0.3">
      <c r="B139" s="102" t="s">
        <v>39</v>
      </c>
      <c r="C139" s="103"/>
      <c r="D139" s="130" t="s">
        <v>32</v>
      </c>
      <c r="E139" s="130" t="s">
        <v>33</v>
      </c>
      <c r="F139" s="130" t="s">
        <v>34</v>
      </c>
      <c r="G139" s="140" t="s">
        <v>35</v>
      </c>
    </row>
    <row r="140" spans="1:8" x14ac:dyDescent="0.3">
      <c r="A140" s="32"/>
      <c r="B140" s="131">
        <v>1</v>
      </c>
      <c r="C140" s="132"/>
      <c r="D140" s="133" t="s">
        <v>50</v>
      </c>
      <c r="E140" s="143" t="s">
        <v>59</v>
      </c>
      <c r="F140" s="143" t="s">
        <v>58</v>
      </c>
      <c r="G140" s="144" t="s">
        <v>60</v>
      </c>
      <c r="H140" s="32"/>
    </row>
    <row r="141" spans="1:8" x14ac:dyDescent="0.3">
      <c r="A141" s="32"/>
      <c r="B141" s="137">
        <v>2</v>
      </c>
      <c r="C141" s="138"/>
      <c r="D141" s="139" t="s">
        <v>51</v>
      </c>
      <c r="E141" s="147" t="s">
        <v>44</v>
      </c>
      <c r="F141" s="147" t="s">
        <v>44</v>
      </c>
      <c r="G141" s="148" t="s">
        <v>44</v>
      </c>
      <c r="H141" s="32"/>
    </row>
    <row r="142" spans="1:8" x14ac:dyDescent="0.3">
      <c r="A142" s="32"/>
      <c r="B142" s="149">
        <v>3</v>
      </c>
      <c r="C142" s="150"/>
      <c r="D142" s="151" t="s">
        <v>52</v>
      </c>
      <c r="E142" s="152" t="s">
        <v>44</v>
      </c>
      <c r="F142" s="152" t="s">
        <v>44</v>
      </c>
      <c r="G142" s="153" t="s">
        <v>60</v>
      </c>
      <c r="H142" s="32"/>
    </row>
    <row r="143" spans="1:8" x14ac:dyDescent="0.3">
      <c r="A143" s="32"/>
      <c r="B143" s="134">
        <v>4</v>
      </c>
      <c r="C143" s="135"/>
      <c r="D143" s="136" t="s">
        <v>63</v>
      </c>
      <c r="E143" s="145" t="s">
        <v>44</v>
      </c>
      <c r="F143" s="145" t="s">
        <v>44</v>
      </c>
      <c r="G143" s="146" t="s">
        <v>64</v>
      </c>
      <c r="H143" s="32"/>
    </row>
    <row r="144" spans="1:8" x14ac:dyDescent="0.3">
      <c r="A144" s="89"/>
      <c r="B144" s="89"/>
      <c r="C144" s="89"/>
      <c r="D144" s="89"/>
      <c r="E144" s="89"/>
      <c r="F144" s="89"/>
      <c r="G144" s="89"/>
      <c r="H144" s="8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A58A8-B32B-4556-8BFF-BEB69DB4D236}">
  <sheetPr codeName="Hoja38">
    <tabColor theme="9" tint="-0.499984740745262"/>
  </sheetPr>
  <dimension ref="A4:H121"/>
  <sheetViews>
    <sheetView workbookViewId="0"/>
  </sheetViews>
  <sheetFormatPr baseColWidth="10" defaultRowHeight="14.4" x14ac:dyDescent="0.3"/>
  <cols>
    <col min="1" max="3" width="3" customWidth="1"/>
    <col min="4" max="4" width="38.77734375" customWidth="1"/>
    <col min="5" max="6" width="16.77734375" customWidth="1"/>
    <col min="7" max="7" width="20.77734375" customWidth="1"/>
    <col min="8" max="8" width="30.77734375" customWidth="1"/>
  </cols>
  <sheetData>
    <row r="4" spans="1:8" ht="15.6" x14ac:dyDescent="0.3">
      <c r="D4" s="28" t="s">
        <v>65</v>
      </c>
    </row>
    <row r="5" spans="1:8" ht="30" customHeight="1" x14ac:dyDescent="0.3">
      <c r="A5" s="32"/>
      <c r="B5" s="32"/>
      <c r="C5" s="32"/>
      <c r="D5" s="38" t="s">
        <v>17</v>
      </c>
      <c r="E5" s="39" t="s">
        <v>18</v>
      </c>
      <c r="F5" s="40"/>
      <c r="G5" s="41"/>
      <c r="H5" s="25" t="s">
        <v>37</v>
      </c>
    </row>
    <row r="6" spans="1:8" ht="25.05" customHeight="1" x14ac:dyDescent="0.3">
      <c r="B6" s="26" t="s">
        <v>19</v>
      </c>
      <c r="C6" s="27"/>
      <c r="D6" s="69">
        <v>1</v>
      </c>
      <c r="E6" s="42" t="s">
        <v>66</v>
      </c>
      <c r="F6" s="30"/>
      <c r="G6" s="31"/>
      <c r="H6" s="29">
        <v>60</v>
      </c>
    </row>
    <row r="7" spans="1:8" ht="19.95" customHeight="1" x14ac:dyDescent="0.3">
      <c r="A7" s="32"/>
      <c r="B7" s="50" t="s">
        <v>20</v>
      </c>
      <c r="C7" s="51" t="s">
        <v>39</v>
      </c>
      <c r="D7" s="52" t="s">
        <v>21</v>
      </c>
      <c r="E7" s="52" t="s">
        <v>22</v>
      </c>
      <c r="F7" s="52" t="s">
        <v>23</v>
      </c>
      <c r="G7" s="52" t="s">
        <v>24</v>
      </c>
      <c r="H7" s="53" t="s">
        <v>25</v>
      </c>
    </row>
    <row r="8" spans="1:8" x14ac:dyDescent="0.3">
      <c r="A8" s="32"/>
      <c r="B8" s="96">
        <v>1</v>
      </c>
      <c r="C8" s="97" t="s">
        <v>31</v>
      </c>
      <c r="D8" s="98" t="s">
        <v>63</v>
      </c>
      <c r="E8" s="57">
        <v>60</v>
      </c>
      <c r="F8" s="58">
        <v>538.20000000000005</v>
      </c>
      <c r="G8" s="58">
        <f>E8 * F8</f>
        <v>32292.000000000004</v>
      </c>
      <c r="H8" s="59"/>
    </row>
    <row r="9" spans="1:8" x14ac:dyDescent="0.3">
      <c r="A9" s="32"/>
      <c r="B9" s="99">
        <v>1</v>
      </c>
      <c r="C9" s="100" t="s">
        <v>31</v>
      </c>
      <c r="D9" s="101" t="s">
        <v>52</v>
      </c>
      <c r="E9" s="60">
        <v>60</v>
      </c>
      <c r="F9" s="61">
        <v>1080</v>
      </c>
      <c r="G9" s="61">
        <f>E9 * F9</f>
        <v>64800</v>
      </c>
      <c r="H9" s="62"/>
    </row>
    <row r="10" spans="1:8" x14ac:dyDescent="0.3">
      <c r="A10" s="32"/>
      <c r="B10" s="99">
        <v>1</v>
      </c>
      <c r="C10" s="100" t="s">
        <v>31</v>
      </c>
      <c r="D10" s="101" t="s">
        <v>50</v>
      </c>
      <c r="E10" s="60">
        <v>60</v>
      </c>
      <c r="F10" s="61">
        <v>1150</v>
      </c>
      <c r="G10" s="61">
        <f>E10 * F10</f>
        <v>69000</v>
      </c>
      <c r="H10" s="62"/>
    </row>
    <row r="11" spans="1:8" x14ac:dyDescent="0.3">
      <c r="A11" s="32"/>
      <c r="B11" s="93">
        <v>1</v>
      </c>
      <c r="C11" s="94" t="s">
        <v>31</v>
      </c>
      <c r="D11" s="95" t="s">
        <v>51</v>
      </c>
      <c r="E11" s="43">
        <v>60</v>
      </c>
      <c r="F11" s="44">
        <v>28000</v>
      </c>
      <c r="G11" s="44">
        <f>E11 * F11</f>
        <v>1680000</v>
      </c>
      <c r="H11" s="45"/>
    </row>
    <row r="12" spans="1:8" x14ac:dyDescent="0.3">
      <c r="E12" s="24"/>
    </row>
    <row r="14" spans="1:8" x14ac:dyDescent="0.3">
      <c r="A14" s="35"/>
      <c r="B14" s="35" t="s">
        <v>26</v>
      </c>
      <c r="C14" s="35"/>
      <c r="D14" s="36"/>
      <c r="E14" s="35"/>
      <c r="F14" s="35"/>
      <c r="G14" s="35"/>
      <c r="H14" s="35"/>
    </row>
    <row r="15" spans="1:8" x14ac:dyDescent="0.3">
      <c r="A15" s="35"/>
      <c r="B15" s="35"/>
      <c r="C15" s="35"/>
      <c r="D15" s="35"/>
      <c r="E15" s="35"/>
      <c r="F15" s="35"/>
      <c r="G15" s="35"/>
      <c r="H15" s="35"/>
    </row>
    <row r="16" spans="1:8" x14ac:dyDescent="0.3">
      <c r="A16" s="35"/>
      <c r="B16" s="35"/>
      <c r="C16" s="35"/>
      <c r="D16" s="35"/>
      <c r="E16" s="35"/>
      <c r="F16" s="35"/>
      <c r="G16" s="35"/>
      <c r="H16" s="35"/>
    </row>
    <row r="17" spans="1:8" x14ac:dyDescent="0.3">
      <c r="A17" s="35"/>
      <c r="B17" s="35" t="s">
        <v>27</v>
      </c>
      <c r="C17" s="35"/>
      <c r="D17" s="35"/>
      <c r="E17" s="36"/>
      <c r="F17" s="36"/>
      <c r="G17" s="36"/>
      <c r="H17" s="36"/>
    </row>
    <row r="18" spans="1:8" x14ac:dyDescent="0.3">
      <c r="A18" s="35"/>
      <c r="B18" s="35"/>
      <c r="C18" s="35"/>
      <c r="D18" s="35"/>
      <c r="E18" s="35"/>
      <c r="F18" s="35"/>
      <c r="G18" s="35"/>
      <c r="H18" s="35"/>
    </row>
    <row r="19" spans="1:8" x14ac:dyDescent="0.3">
      <c r="A19" s="35"/>
      <c r="B19" s="35"/>
      <c r="C19" s="35"/>
      <c r="D19" s="35"/>
      <c r="E19" s="35"/>
      <c r="F19" s="35"/>
      <c r="G19" s="35"/>
      <c r="H19" s="35"/>
    </row>
    <row r="20" spans="1:8" x14ac:dyDescent="0.3">
      <c r="A20" s="35"/>
      <c r="B20" s="35" t="s">
        <v>28</v>
      </c>
      <c r="C20" s="35"/>
      <c r="D20" s="35"/>
      <c r="E20" s="35"/>
      <c r="F20" s="35"/>
      <c r="G20" s="35"/>
      <c r="H20" s="35"/>
    </row>
    <row r="21" spans="1:8" x14ac:dyDescent="0.3">
      <c r="A21" s="35"/>
      <c r="B21" s="35"/>
      <c r="C21" s="35"/>
      <c r="D21" s="36"/>
      <c r="E21" s="36"/>
      <c r="F21" s="36"/>
      <c r="G21" s="36"/>
      <c r="H21" s="36"/>
    </row>
    <row r="22" spans="1:8" x14ac:dyDescent="0.3">
      <c r="A22" s="35"/>
      <c r="B22" s="35"/>
      <c r="C22" s="35"/>
      <c r="D22" s="34" t="s">
        <v>29</v>
      </c>
      <c r="E22" s="34"/>
      <c r="F22" s="34"/>
      <c r="G22" s="34"/>
      <c r="H22" s="34"/>
    </row>
    <row r="23" spans="1:8" x14ac:dyDescent="0.3">
      <c r="A23" s="37"/>
      <c r="B23" s="37"/>
      <c r="C23" s="37"/>
      <c r="D23" s="37"/>
      <c r="E23" s="37"/>
      <c r="F23" s="37"/>
      <c r="G23" s="37"/>
      <c r="H23" s="37"/>
    </row>
    <row r="27" spans="1:8" ht="15.6" x14ac:dyDescent="0.3">
      <c r="D27" s="28" t="s">
        <v>65</v>
      </c>
    </row>
    <row r="28" spans="1:8" ht="30" customHeight="1" x14ac:dyDescent="0.3">
      <c r="A28" s="32"/>
      <c r="B28" s="32"/>
      <c r="C28" s="32"/>
      <c r="D28" s="38" t="s">
        <v>17</v>
      </c>
      <c r="E28" s="39" t="s">
        <v>18</v>
      </c>
      <c r="F28" s="40"/>
      <c r="G28" s="41"/>
      <c r="H28" s="25" t="s">
        <v>37</v>
      </c>
    </row>
    <row r="29" spans="1:8" ht="18" x14ac:dyDescent="0.3">
      <c r="B29" s="26" t="s">
        <v>19</v>
      </c>
      <c r="C29" s="27"/>
      <c r="D29" s="69">
        <v>2</v>
      </c>
      <c r="E29" s="42" t="s">
        <v>67</v>
      </c>
      <c r="F29" s="30"/>
      <c r="G29" s="31"/>
      <c r="H29" s="29">
        <v>35</v>
      </c>
    </row>
    <row r="30" spans="1:8" ht="19.95" customHeight="1" x14ac:dyDescent="0.3">
      <c r="A30" s="32"/>
      <c r="B30" s="50" t="s">
        <v>20</v>
      </c>
      <c r="C30" s="51" t="s">
        <v>39</v>
      </c>
      <c r="D30" s="52" t="s">
        <v>21</v>
      </c>
      <c r="E30" s="52" t="s">
        <v>22</v>
      </c>
      <c r="F30" s="52" t="s">
        <v>23</v>
      </c>
      <c r="G30" s="52" t="s">
        <v>24</v>
      </c>
      <c r="H30" s="53" t="s">
        <v>25</v>
      </c>
    </row>
    <row r="31" spans="1:8" x14ac:dyDescent="0.3">
      <c r="A31" s="32"/>
      <c r="B31" s="96">
        <v>2</v>
      </c>
      <c r="C31" s="97" t="s">
        <v>31</v>
      </c>
      <c r="D31" s="98" t="s">
        <v>50</v>
      </c>
      <c r="E31" s="57">
        <v>35</v>
      </c>
      <c r="F31" s="58">
        <v>1438</v>
      </c>
      <c r="G31" s="58">
        <f>E31 * F31</f>
        <v>50330</v>
      </c>
      <c r="H31" s="59"/>
    </row>
    <row r="32" spans="1:8" x14ac:dyDescent="0.3">
      <c r="A32" s="32"/>
      <c r="B32" s="99">
        <v>2</v>
      </c>
      <c r="C32" s="100" t="s">
        <v>31</v>
      </c>
      <c r="D32" s="101" t="s">
        <v>63</v>
      </c>
      <c r="E32" s="60">
        <v>35</v>
      </c>
      <c r="F32" s="61">
        <v>11661</v>
      </c>
      <c r="G32" s="61">
        <f>E32 * F32</f>
        <v>408135</v>
      </c>
      <c r="H32" s="62"/>
    </row>
    <row r="33" spans="1:8" x14ac:dyDescent="0.3">
      <c r="A33" s="32"/>
      <c r="B33" s="93">
        <v>2</v>
      </c>
      <c r="C33" s="94" t="s">
        <v>31</v>
      </c>
      <c r="D33" s="95" t="s">
        <v>51</v>
      </c>
      <c r="E33" s="43">
        <v>35</v>
      </c>
      <c r="F33" s="44">
        <v>40000</v>
      </c>
      <c r="G33" s="44">
        <f>E33 * F33</f>
        <v>1400000</v>
      </c>
      <c r="H33" s="45"/>
    </row>
    <row r="34" spans="1:8" x14ac:dyDescent="0.3">
      <c r="E34" s="24"/>
    </row>
    <row r="36" spans="1:8" x14ac:dyDescent="0.3">
      <c r="A36" s="35"/>
      <c r="B36" s="35" t="s">
        <v>26</v>
      </c>
      <c r="C36" s="35"/>
      <c r="D36" s="36"/>
      <c r="E36" s="35"/>
      <c r="F36" s="35"/>
      <c r="G36" s="35"/>
      <c r="H36" s="35"/>
    </row>
    <row r="37" spans="1:8" x14ac:dyDescent="0.3">
      <c r="A37" s="35"/>
      <c r="B37" s="35"/>
      <c r="C37" s="35"/>
      <c r="D37" s="35"/>
      <c r="E37" s="35"/>
      <c r="F37" s="35"/>
      <c r="G37" s="35"/>
      <c r="H37" s="35"/>
    </row>
    <row r="38" spans="1:8" x14ac:dyDescent="0.3">
      <c r="A38" s="35"/>
      <c r="B38" s="35"/>
      <c r="C38" s="35"/>
      <c r="D38" s="35"/>
      <c r="E38" s="35"/>
      <c r="F38" s="35"/>
      <c r="G38" s="35"/>
      <c r="H38" s="35"/>
    </row>
    <row r="39" spans="1:8" x14ac:dyDescent="0.3">
      <c r="A39" s="35"/>
      <c r="B39" s="35" t="s">
        <v>27</v>
      </c>
      <c r="C39" s="35"/>
      <c r="D39" s="35"/>
      <c r="E39" s="36"/>
      <c r="F39" s="36"/>
      <c r="G39" s="36"/>
      <c r="H39" s="36"/>
    </row>
    <row r="40" spans="1:8" x14ac:dyDescent="0.3">
      <c r="A40" s="35"/>
      <c r="B40" s="35"/>
      <c r="C40" s="35"/>
      <c r="D40" s="35"/>
      <c r="E40" s="35"/>
      <c r="F40" s="35"/>
      <c r="G40" s="35"/>
      <c r="H40" s="35"/>
    </row>
    <row r="41" spans="1:8" x14ac:dyDescent="0.3">
      <c r="A41" s="35"/>
      <c r="B41" s="35"/>
      <c r="C41" s="35"/>
      <c r="D41" s="35"/>
      <c r="E41" s="35"/>
      <c r="F41" s="35"/>
      <c r="G41" s="35"/>
      <c r="H41" s="35"/>
    </row>
    <row r="42" spans="1:8" x14ac:dyDescent="0.3">
      <c r="A42" s="35"/>
      <c r="B42" s="35" t="s">
        <v>28</v>
      </c>
      <c r="C42" s="35"/>
      <c r="D42" s="35"/>
      <c r="E42" s="35"/>
      <c r="F42" s="35"/>
      <c r="G42" s="35"/>
      <c r="H42" s="35"/>
    </row>
    <row r="43" spans="1:8" x14ac:dyDescent="0.3">
      <c r="A43" s="35"/>
      <c r="B43" s="35"/>
      <c r="C43" s="35"/>
      <c r="D43" s="36"/>
      <c r="E43" s="36"/>
      <c r="F43" s="36"/>
      <c r="G43" s="36"/>
      <c r="H43" s="36"/>
    </row>
    <row r="44" spans="1:8" x14ac:dyDescent="0.3">
      <c r="A44" s="35"/>
      <c r="B44" s="35"/>
      <c r="C44" s="35"/>
      <c r="D44" s="34" t="s">
        <v>29</v>
      </c>
      <c r="E44" s="34"/>
      <c r="F44" s="34"/>
      <c r="G44" s="34"/>
      <c r="H44" s="34"/>
    </row>
    <row r="45" spans="1:8" x14ac:dyDescent="0.3">
      <c r="A45" s="37"/>
      <c r="B45" s="37"/>
      <c r="C45" s="37"/>
      <c r="D45" s="37"/>
      <c r="E45" s="37"/>
      <c r="F45" s="37"/>
      <c r="G45" s="37"/>
      <c r="H45" s="37"/>
    </row>
    <row r="49" spans="1:8" ht="15.6" x14ac:dyDescent="0.3">
      <c r="D49" s="28" t="s">
        <v>65</v>
      </c>
    </row>
    <row r="50" spans="1:8" ht="30" customHeight="1" x14ac:dyDescent="0.3">
      <c r="A50" s="32"/>
      <c r="B50" s="32"/>
      <c r="C50" s="32"/>
      <c r="D50" s="38" t="s">
        <v>17</v>
      </c>
      <c r="E50" s="39" t="s">
        <v>18</v>
      </c>
      <c r="F50" s="40"/>
      <c r="G50" s="41"/>
      <c r="H50" s="25" t="s">
        <v>37</v>
      </c>
    </row>
    <row r="51" spans="1:8" ht="18" x14ac:dyDescent="0.3">
      <c r="B51" s="26" t="s">
        <v>19</v>
      </c>
      <c r="C51" s="27"/>
      <c r="D51" s="69">
        <v>3</v>
      </c>
      <c r="E51" s="42" t="s">
        <v>68</v>
      </c>
      <c r="F51" s="30"/>
      <c r="G51" s="31"/>
      <c r="H51" s="29">
        <v>800</v>
      </c>
    </row>
    <row r="52" spans="1:8" ht="19.95" customHeight="1" x14ac:dyDescent="0.3">
      <c r="A52" s="32"/>
      <c r="B52" s="50" t="s">
        <v>20</v>
      </c>
      <c r="C52" s="51" t="s">
        <v>39</v>
      </c>
      <c r="D52" s="52" t="s">
        <v>21</v>
      </c>
      <c r="E52" s="52" t="s">
        <v>22</v>
      </c>
      <c r="F52" s="52" t="s">
        <v>23</v>
      </c>
      <c r="G52" s="52" t="s">
        <v>24</v>
      </c>
      <c r="H52" s="53" t="s">
        <v>25</v>
      </c>
    </row>
    <row r="53" spans="1:8" x14ac:dyDescent="0.3">
      <c r="A53" s="32"/>
      <c r="B53" s="96">
        <v>3</v>
      </c>
      <c r="C53" s="97" t="s">
        <v>31</v>
      </c>
      <c r="D53" s="98" t="s">
        <v>63</v>
      </c>
      <c r="E53" s="57">
        <v>800</v>
      </c>
      <c r="F53" s="58">
        <v>170.43</v>
      </c>
      <c r="G53" s="58">
        <f>E53 * F53</f>
        <v>136344</v>
      </c>
      <c r="H53" s="59" t="s">
        <v>61</v>
      </c>
    </row>
    <row r="54" spans="1:8" x14ac:dyDescent="0.3">
      <c r="A54" s="32"/>
      <c r="B54" s="99">
        <v>3</v>
      </c>
      <c r="C54" s="100" t="s">
        <v>31</v>
      </c>
      <c r="D54" s="101" t="s">
        <v>50</v>
      </c>
      <c r="E54" s="60">
        <v>800</v>
      </c>
      <c r="F54" s="61">
        <v>199</v>
      </c>
      <c r="G54" s="61">
        <f>E54 * F54</f>
        <v>159200</v>
      </c>
      <c r="H54" s="62" t="s">
        <v>61</v>
      </c>
    </row>
    <row r="55" spans="1:8" x14ac:dyDescent="0.3">
      <c r="A55" s="32"/>
      <c r="B55" s="93">
        <v>3</v>
      </c>
      <c r="C55" s="94" t="s">
        <v>31</v>
      </c>
      <c r="D55" s="95" t="s">
        <v>51</v>
      </c>
      <c r="E55" s="43">
        <v>800</v>
      </c>
      <c r="F55" s="44">
        <v>220</v>
      </c>
      <c r="G55" s="44">
        <f>E55 * F55</f>
        <v>176000</v>
      </c>
      <c r="H55" s="45" t="s">
        <v>62</v>
      </c>
    </row>
    <row r="56" spans="1:8" x14ac:dyDescent="0.3">
      <c r="E56" s="24"/>
    </row>
    <row r="58" spans="1:8" x14ac:dyDescent="0.3">
      <c r="A58" s="35"/>
      <c r="B58" s="35" t="s">
        <v>26</v>
      </c>
      <c r="C58" s="35"/>
      <c r="D58" s="36"/>
      <c r="E58" s="35"/>
      <c r="F58" s="35"/>
      <c r="G58" s="35"/>
      <c r="H58" s="35"/>
    </row>
    <row r="59" spans="1:8" x14ac:dyDescent="0.3">
      <c r="A59" s="35"/>
      <c r="B59" s="35"/>
      <c r="C59" s="35"/>
      <c r="D59" s="35"/>
      <c r="E59" s="35"/>
      <c r="F59" s="35"/>
      <c r="G59" s="35"/>
      <c r="H59" s="35"/>
    </row>
    <row r="60" spans="1:8" x14ac:dyDescent="0.3">
      <c r="A60" s="35"/>
      <c r="B60" s="35"/>
      <c r="C60" s="35"/>
      <c r="D60" s="35"/>
      <c r="E60" s="35"/>
      <c r="F60" s="35"/>
      <c r="G60" s="35"/>
      <c r="H60" s="35"/>
    </row>
    <row r="61" spans="1:8" x14ac:dyDescent="0.3">
      <c r="A61" s="35"/>
      <c r="B61" s="35" t="s">
        <v>27</v>
      </c>
      <c r="C61" s="35"/>
      <c r="D61" s="35"/>
      <c r="E61" s="36"/>
      <c r="F61" s="36"/>
      <c r="G61" s="36"/>
      <c r="H61" s="36"/>
    </row>
    <row r="62" spans="1:8" x14ac:dyDescent="0.3">
      <c r="A62" s="35"/>
      <c r="B62" s="35"/>
      <c r="C62" s="35"/>
      <c r="D62" s="35"/>
      <c r="E62" s="35"/>
      <c r="F62" s="35"/>
      <c r="G62" s="35"/>
      <c r="H62" s="35"/>
    </row>
    <row r="63" spans="1:8" x14ac:dyDescent="0.3">
      <c r="A63" s="35"/>
      <c r="B63" s="35"/>
      <c r="C63" s="35"/>
      <c r="D63" s="35"/>
      <c r="E63" s="35"/>
      <c r="F63" s="35"/>
      <c r="G63" s="35"/>
      <c r="H63" s="35"/>
    </row>
    <row r="64" spans="1:8" x14ac:dyDescent="0.3">
      <c r="A64" s="35"/>
      <c r="B64" s="35" t="s">
        <v>28</v>
      </c>
      <c r="C64" s="35"/>
      <c r="D64" s="35"/>
      <c r="E64" s="35"/>
      <c r="F64" s="35"/>
      <c r="G64" s="35"/>
      <c r="H64" s="35"/>
    </row>
    <row r="65" spans="1:8" x14ac:dyDescent="0.3">
      <c r="A65" s="35"/>
      <c r="B65" s="35"/>
      <c r="C65" s="35"/>
      <c r="D65" s="36"/>
      <c r="E65" s="36"/>
      <c r="F65" s="36"/>
      <c r="G65" s="36"/>
      <c r="H65" s="36"/>
    </row>
    <row r="66" spans="1:8" x14ac:dyDescent="0.3">
      <c r="A66" s="35"/>
      <c r="B66" s="35"/>
      <c r="C66" s="35"/>
      <c r="D66" s="34" t="s">
        <v>29</v>
      </c>
      <c r="E66" s="34"/>
      <c r="F66" s="34"/>
      <c r="G66" s="34"/>
      <c r="H66" s="34"/>
    </row>
    <row r="67" spans="1:8" x14ac:dyDescent="0.3">
      <c r="A67" s="37"/>
      <c r="B67" s="37"/>
      <c r="C67" s="37"/>
      <c r="D67" s="37"/>
      <c r="E67" s="37"/>
      <c r="F67" s="37"/>
      <c r="G67" s="37"/>
      <c r="H67" s="37"/>
    </row>
    <row r="71" spans="1:8" ht="15.6" x14ac:dyDescent="0.3">
      <c r="D71" s="28" t="s">
        <v>65</v>
      </c>
    </row>
    <row r="72" spans="1:8" ht="30" customHeight="1" x14ac:dyDescent="0.3">
      <c r="A72" s="32"/>
      <c r="B72" s="32"/>
      <c r="C72" s="32"/>
      <c r="D72" s="38" t="s">
        <v>17</v>
      </c>
      <c r="E72" s="39" t="s">
        <v>18</v>
      </c>
      <c r="F72" s="40"/>
      <c r="G72" s="41"/>
      <c r="H72" s="25" t="s">
        <v>37</v>
      </c>
    </row>
    <row r="73" spans="1:8" ht="25.05" customHeight="1" x14ac:dyDescent="0.3">
      <c r="B73" s="26" t="s">
        <v>19</v>
      </c>
      <c r="C73" s="27"/>
      <c r="D73" s="69">
        <v>4</v>
      </c>
      <c r="E73" s="42" t="s">
        <v>69</v>
      </c>
      <c r="F73" s="30"/>
      <c r="G73" s="31"/>
      <c r="H73" s="29">
        <v>800</v>
      </c>
    </row>
    <row r="74" spans="1:8" ht="19.95" customHeight="1" x14ac:dyDescent="0.3">
      <c r="A74" s="32"/>
      <c r="B74" s="50" t="s">
        <v>20</v>
      </c>
      <c r="C74" s="51" t="s">
        <v>39</v>
      </c>
      <c r="D74" s="52" t="s">
        <v>21</v>
      </c>
      <c r="E74" s="52" t="s">
        <v>22</v>
      </c>
      <c r="F74" s="52" t="s">
        <v>23</v>
      </c>
      <c r="G74" s="52" t="s">
        <v>24</v>
      </c>
      <c r="H74" s="53" t="s">
        <v>25</v>
      </c>
    </row>
    <row r="75" spans="1:8" x14ac:dyDescent="0.3">
      <c r="A75" s="32"/>
      <c r="B75" s="96">
        <v>4</v>
      </c>
      <c r="C75" s="97" t="s">
        <v>31</v>
      </c>
      <c r="D75" s="98" t="s">
        <v>50</v>
      </c>
      <c r="E75" s="57">
        <v>800</v>
      </c>
      <c r="F75" s="58">
        <v>220</v>
      </c>
      <c r="G75" s="58">
        <f>E75 * F75</f>
        <v>176000</v>
      </c>
      <c r="H75" s="59" t="s">
        <v>61</v>
      </c>
    </row>
    <row r="76" spans="1:8" x14ac:dyDescent="0.3">
      <c r="A76" s="32"/>
      <c r="B76" s="99">
        <v>4</v>
      </c>
      <c r="C76" s="100" t="s">
        <v>31</v>
      </c>
      <c r="D76" s="101" t="s">
        <v>51</v>
      </c>
      <c r="E76" s="60">
        <v>800</v>
      </c>
      <c r="F76" s="61">
        <v>220</v>
      </c>
      <c r="G76" s="61">
        <f>E76 * F76</f>
        <v>176000</v>
      </c>
      <c r="H76" s="62" t="s">
        <v>62</v>
      </c>
    </row>
    <row r="77" spans="1:8" x14ac:dyDescent="0.3">
      <c r="A77" s="32"/>
      <c r="B77" s="93">
        <v>4</v>
      </c>
      <c r="C77" s="94" t="s">
        <v>31</v>
      </c>
      <c r="D77" s="95" t="s">
        <v>63</v>
      </c>
      <c r="E77" s="43">
        <v>800</v>
      </c>
      <c r="F77" s="44">
        <v>224.25</v>
      </c>
      <c r="G77" s="44">
        <f>E77 * F77</f>
        <v>179400</v>
      </c>
      <c r="H77" s="45" t="s">
        <v>61</v>
      </c>
    </row>
    <row r="78" spans="1:8" x14ac:dyDescent="0.3">
      <c r="E78" s="24"/>
    </row>
    <row r="80" spans="1:8" x14ac:dyDescent="0.3">
      <c r="A80" s="35"/>
      <c r="B80" s="35" t="s">
        <v>26</v>
      </c>
      <c r="C80" s="35"/>
      <c r="D80" s="36"/>
      <c r="E80" s="35"/>
      <c r="F80" s="35"/>
      <c r="G80" s="35"/>
      <c r="H80" s="35"/>
    </row>
    <row r="81" spans="1:8" x14ac:dyDescent="0.3">
      <c r="A81" s="35"/>
      <c r="B81" s="35"/>
      <c r="C81" s="35"/>
      <c r="D81" s="35"/>
      <c r="E81" s="35"/>
      <c r="F81" s="35"/>
      <c r="G81" s="35"/>
      <c r="H81" s="35"/>
    </row>
    <row r="82" spans="1:8" x14ac:dyDescent="0.3">
      <c r="A82" s="35"/>
      <c r="B82" s="35"/>
      <c r="C82" s="35"/>
      <c r="D82" s="35"/>
      <c r="E82" s="35"/>
      <c r="F82" s="35"/>
      <c r="G82" s="35"/>
      <c r="H82" s="35"/>
    </row>
    <row r="83" spans="1:8" x14ac:dyDescent="0.3">
      <c r="A83" s="35"/>
      <c r="B83" s="35" t="s">
        <v>27</v>
      </c>
      <c r="C83" s="35"/>
      <c r="D83" s="35"/>
      <c r="E83" s="36"/>
      <c r="F83" s="36"/>
      <c r="G83" s="36"/>
      <c r="H83" s="36"/>
    </row>
    <row r="84" spans="1:8" x14ac:dyDescent="0.3">
      <c r="A84" s="35"/>
      <c r="B84" s="35"/>
      <c r="C84" s="35"/>
      <c r="D84" s="35"/>
      <c r="E84" s="35"/>
      <c r="F84" s="35"/>
      <c r="G84" s="35"/>
      <c r="H84" s="35"/>
    </row>
    <row r="85" spans="1:8" x14ac:dyDescent="0.3">
      <c r="A85" s="35"/>
      <c r="B85" s="35"/>
      <c r="C85" s="35"/>
      <c r="D85" s="35"/>
      <c r="E85" s="35"/>
      <c r="F85" s="35"/>
      <c r="G85" s="35"/>
      <c r="H85" s="35"/>
    </row>
    <row r="86" spans="1:8" x14ac:dyDescent="0.3">
      <c r="A86" s="35"/>
      <c r="B86" s="35" t="s">
        <v>28</v>
      </c>
      <c r="C86" s="35"/>
      <c r="D86" s="35"/>
      <c r="E86" s="35"/>
      <c r="F86" s="35"/>
      <c r="G86" s="35"/>
      <c r="H86" s="35"/>
    </row>
    <row r="87" spans="1:8" x14ac:dyDescent="0.3">
      <c r="A87" s="35"/>
      <c r="B87" s="35"/>
      <c r="C87" s="35"/>
      <c r="D87" s="36"/>
      <c r="E87" s="36"/>
      <c r="F87" s="36"/>
      <c r="G87" s="36"/>
      <c r="H87" s="36"/>
    </row>
    <row r="88" spans="1:8" x14ac:dyDescent="0.3">
      <c r="A88" s="35"/>
      <c r="B88" s="35"/>
      <c r="C88" s="35"/>
      <c r="D88" s="34" t="s">
        <v>29</v>
      </c>
      <c r="E88" s="34"/>
      <c r="F88" s="34"/>
      <c r="G88" s="34"/>
      <c r="H88" s="34"/>
    </row>
    <row r="89" spans="1:8" x14ac:dyDescent="0.3">
      <c r="A89" s="37"/>
      <c r="B89" s="37"/>
      <c r="C89" s="37"/>
      <c r="D89" s="37"/>
      <c r="E89" s="37"/>
      <c r="F89" s="37"/>
      <c r="G89" s="37"/>
      <c r="H89" s="37"/>
    </row>
    <row r="93" spans="1:8" ht="15.6" x14ac:dyDescent="0.3">
      <c r="D93" s="28" t="s">
        <v>65</v>
      </c>
    </row>
    <row r="94" spans="1:8" ht="30" customHeight="1" x14ac:dyDescent="0.3">
      <c r="A94" s="32"/>
      <c r="B94" s="32"/>
      <c r="C94" s="32"/>
      <c r="D94" s="38" t="s">
        <v>17</v>
      </c>
      <c r="E94" s="39" t="s">
        <v>18</v>
      </c>
      <c r="F94" s="40"/>
      <c r="G94" s="41"/>
      <c r="H94" s="25" t="s">
        <v>37</v>
      </c>
    </row>
    <row r="95" spans="1:8" ht="25.05" customHeight="1" x14ac:dyDescent="0.3">
      <c r="B95" s="26" t="s">
        <v>19</v>
      </c>
      <c r="C95" s="27"/>
      <c r="D95" s="69">
        <v>5</v>
      </c>
      <c r="E95" s="42" t="s">
        <v>70</v>
      </c>
      <c r="F95" s="30"/>
      <c r="G95" s="31"/>
      <c r="H95" s="29">
        <v>300</v>
      </c>
    </row>
    <row r="96" spans="1:8" ht="19.95" customHeight="1" x14ac:dyDescent="0.3">
      <c r="A96" s="32"/>
      <c r="B96" s="50" t="s">
        <v>20</v>
      </c>
      <c r="C96" s="51" t="s">
        <v>39</v>
      </c>
      <c r="D96" s="52" t="s">
        <v>21</v>
      </c>
      <c r="E96" s="52" t="s">
        <v>22</v>
      </c>
      <c r="F96" s="52" t="s">
        <v>23</v>
      </c>
      <c r="G96" s="52" t="s">
        <v>24</v>
      </c>
      <c r="H96" s="53" t="s">
        <v>25</v>
      </c>
    </row>
    <row r="97" spans="1:8" x14ac:dyDescent="0.3">
      <c r="A97" s="32"/>
      <c r="B97" s="96">
        <v>5</v>
      </c>
      <c r="C97" s="97" t="s">
        <v>31</v>
      </c>
      <c r="D97" s="98" t="s">
        <v>51</v>
      </c>
      <c r="E97" s="57">
        <v>300</v>
      </c>
      <c r="F97" s="58">
        <v>350</v>
      </c>
      <c r="G97" s="58">
        <f>E97 * F97</f>
        <v>105000</v>
      </c>
      <c r="H97" s="59" t="s">
        <v>62</v>
      </c>
    </row>
    <row r="98" spans="1:8" x14ac:dyDescent="0.3">
      <c r="A98" s="32"/>
      <c r="B98" s="99">
        <v>5</v>
      </c>
      <c r="C98" s="100" t="s">
        <v>31</v>
      </c>
      <c r="D98" s="101" t="s">
        <v>50</v>
      </c>
      <c r="E98" s="60">
        <v>300</v>
      </c>
      <c r="F98" s="61">
        <v>450</v>
      </c>
      <c r="G98" s="61">
        <f>E98 * F98</f>
        <v>135000</v>
      </c>
      <c r="H98" s="62" t="s">
        <v>61</v>
      </c>
    </row>
    <row r="99" spans="1:8" x14ac:dyDescent="0.3">
      <c r="A99" s="32"/>
      <c r="B99" s="93">
        <v>5</v>
      </c>
      <c r="C99" s="94" t="s">
        <v>31</v>
      </c>
      <c r="D99" s="95" t="s">
        <v>63</v>
      </c>
      <c r="E99" s="43">
        <v>300</v>
      </c>
      <c r="F99" s="44">
        <v>986.7</v>
      </c>
      <c r="G99" s="44">
        <f>E99 * F99</f>
        <v>296010</v>
      </c>
      <c r="H99" s="45" t="s">
        <v>62</v>
      </c>
    </row>
    <row r="100" spans="1:8" x14ac:dyDescent="0.3">
      <c r="E100" s="24"/>
    </row>
    <row r="102" spans="1:8" x14ac:dyDescent="0.3">
      <c r="A102" s="35"/>
      <c r="B102" s="35" t="s">
        <v>26</v>
      </c>
      <c r="C102" s="35"/>
      <c r="D102" s="36"/>
      <c r="E102" s="35"/>
      <c r="F102" s="35"/>
      <c r="G102" s="35"/>
      <c r="H102" s="35"/>
    </row>
    <row r="103" spans="1:8" x14ac:dyDescent="0.3">
      <c r="A103" s="35"/>
      <c r="B103" s="35"/>
      <c r="C103" s="35"/>
      <c r="D103" s="35"/>
      <c r="E103" s="35"/>
      <c r="F103" s="35"/>
      <c r="G103" s="35"/>
      <c r="H103" s="35"/>
    </row>
    <row r="104" spans="1:8" x14ac:dyDescent="0.3">
      <c r="A104" s="35"/>
      <c r="B104" s="35"/>
      <c r="C104" s="35"/>
      <c r="D104" s="35"/>
      <c r="E104" s="35"/>
      <c r="F104" s="35"/>
      <c r="G104" s="35"/>
      <c r="H104" s="35"/>
    </row>
    <row r="105" spans="1:8" x14ac:dyDescent="0.3">
      <c r="A105" s="35"/>
      <c r="B105" s="35" t="s">
        <v>27</v>
      </c>
      <c r="C105" s="35"/>
      <c r="D105" s="35"/>
      <c r="E105" s="36"/>
      <c r="F105" s="36"/>
      <c r="G105" s="36"/>
      <c r="H105" s="36"/>
    </row>
    <row r="106" spans="1:8" x14ac:dyDescent="0.3">
      <c r="A106" s="35"/>
      <c r="B106" s="35"/>
      <c r="C106" s="35"/>
      <c r="D106" s="35"/>
      <c r="E106" s="35"/>
      <c r="F106" s="35"/>
      <c r="G106" s="35"/>
      <c r="H106" s="35"/>
    </row>
    <row r="107" spans="1:8" x14ac:dyDescent="0.3">
      <c r="A107" s="35"/>
      <c r="B107" s="35"/>
      <c r="C107" s="35"/>
      <c r="D107" s="35"/>
      <c r="E107" s="35"/>
      <c r="F107" s="35"/>
      <c r="G107" s="35"/>
      <c r="H107" s="35"/>
    </row>
    <row r="108" spans="1:8" x14ac:dyDescent="0.3">
      <c r="A108" s="35"/>
      <c r="B108" s="35" t="s">
        <v>28</v>
      </c>
      <c r="C108" s="35"/>
      <c r="D108" s="35"/>
      <c r="E108" s="35"/>
      <c r="F108" s="35"/>
      <c r="G108" s="35"/>
      <c r="H108" s="35"/>
    </row>
    <row r="109" spans="1:8" x14ac:dyDescent="0.3">
      <c r="A109" s="35"/>
      <c r="B109" s="35"/>
      <c r="C109" s="35"/>
      <c r="D109" s="36"/>
      <c r="E109" s="36"/>
      <c r="F109" s="36"/>
      <c r="G109" s="36"/>
      <c r="H109" s="36"/>
    </row>
    <row r="110" spans="1:8" x14ac:dyDescent="0.3">
      <c r="A110" s="35"/>
      <c r="B110" s="35"/>
      <c r="C110" s="35"/>
      <c r="D110" s="34" t="s">
        <v>29</v>
      </c>
      <c r="E110" s="34"/>
      <c r="F110" s="34"/>
      <c r="G110" s="34"/>
      <c r="H110" s="34"/>
    </row>
    <row r="111" spans="1:8" x14ac:dyDescent="0.3">
      <c r="A111" s="37"/>
      <c r="B111" s="37"/>
      <c r="C111" s="37"/>
      <c r="D111" s="37"/>
      <c r="E111" s="37"/>
      <c r="F111" s="37"/>
      <c r="G111" s="37"/>
      <c r="H111" s="37"/>
    </row>
    <row r="114" spans="1:8" ht="15.6" x14ac:dyDescent="0.3">
      <c r="D114" s="76" t="s">
        <v>30</v>
      </c>
    </row>
    <row r="115" spans="1:8" ht="21" x14ac:dyDescent="0.3">
      <c r="C115" s="77" t="s">
        <v>42</v>
      </c>
    </row>
    <row r="116" spans="1:8" x14ac:dyDescent="0.3">
      <c r="B116" s="102" t="s">
        <v>39</v>
      </c>
      <c r="C116" s="103"/>
      <c r="D116" s="130" t="s">
        <v>32</v>
      </c>
      <c r="E116" s="130" t="s">
        <v>33</v>
      </c>
      <c r="F116" s="130" t="s">
        <v>34</v>
      </c>
      <c r="G116" s="140" t="s">
        <v>35</v>
      </c>
    </row>
    <row r="117" spans="1:8" x14ac:dyDescent="0.3">
      <c r="A117" s="32"/>
      <c r="B117" s="131">
        <v>1</v>
      </c>
      <c r="C117" s="132"/>
      <c r="D117" s="133" t="s">
        <v>50</v>
      </c>
      <c r="E117" s="143" t="s">
        <v>59</v>
      </c>
      <c r="F117" s="143" t="s">
        <v>58</v>
      </c>
      <c r="G117" s="144" t="s">
        <v>60</v>
      </c>
      <c r="H117" s="32"/>
    </row>
    <row r="118" spans="1:8" x14ac:dyDescent="0.3">
      <c r="A118" s="32"/>
      <c r="B118" s="137">
        <v>2</v>
      </c>
      <c r="C118" s="138"/>
      <c r="D118" s="139" t="s">
        <v>51</v>
      </c>
      <c r="E118" s="147" t="s">
        <v>44</v>
      </c>
      <c r="F118" s="147" t="s">
        <v>44</v>
      </c>
      <c r="G118" s="148" t="s">
        <v>44</v>
      </c>
      <c r="H118" s="32"/>
    </row>
    <row r="119" spans="1:8" x14ac:dyDescent="0.3">
      <c r="A119" s="32"/>
      <c r="B119" s="149">
        <v>3</v>
      </c>
      <c r="C119" s="150"/>
      <c r="D119" s="151" t="s">
        <v>52</v>
      </c>
      <c r="E119" s="152" t="s">
        <v>44</v>
      </c>
      <c r="F119" s="152" t="s">
        <v>44</v>
      </c>
      <c r="G119" s="153" t="s">
        <v>60</v>
      </c>
      <c r="H119" s="32"/>
    </row>
    <row r="120" spans="1:8" x14ac:dyDescent="0.3">
      <c r="A120" s="32"/>
      <c r="B120" s="134">
        <v>4</v>
      </c>
      <c r="C120" s="135"/>
      <c r="D120" s="136" t="s">
        <v>63</v>
      </c>
      <c r="E120" s="145" t="s">
        <v>44</v>
      </c>
      <c r="F120" s="145" t="s">
        <v>44</v>
      </c>
      <c r="G120" s="146" t="s">
        <v>64</v>
      </c>
      <c r="H120" s="32"/>
    </row>
    <row r="121" spans="1:8" x14ac:dyDescent="0.3">
      <c r="A121" s="89"/>
      <c r="B121" s="89"/>
      <c r="C121" s="89"/>
      <c r="D121" s="89"/>
      <c r="E121" s="89"/>
      <c r="F121" s="89"/>
      <c r="G121" s="89"/>
      <c r="H121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roProv">
    <tabColor theme="9" tint="0.59999389629810485"/>
  </sheetPr>
  <dimension ref="A1:D8"/>
  <sheetViews>
    <sheetView workbookViewId="0"/>
  </sheetViews>
  <sheetFormatPr baseColWidth="10" defaultColWidth="8.88671875" defaultRowHeight="14.4" x14ac:dyDescent="0.3"/>
  <cols>
    <col min="1" max="1" width="12" style="1" customWidth="1"/>
    <col min="2" max="2" width="32.21875" customWidth="1"/>
    <col min="3" max="3" width="22.44140625" customWidth="1"/>
    <col min="4" max="4" width="8.88671875" style="2"/>
  </cols>
  <sheetData>
    <row r="1" spans="1:4" ht="31.8" customHeight="1" x14ac:dyDescent="0.3">
      <c r="A1" s="3" t="s">
        <v>0</v>
      </c>
      <c r="B1" s="2" t="s">
        <v>1</v>
      </c>
    </row>
    <row r="2" spans="1:4" x14ac:dyDescent="0.3">
      <c r="A2" s="1">
        <v>1</v>
      </c>
      <c r="B2" t="s">
        <v>50</v>
      </c>
    </row>
    <row r="3" spans="1:4" x14ac:dyDescent="0.3">
      <c r="A3" s="1">
        <v>2</v>
      </c>
      <c r="B3" t="s">
        <v>51</v>
      </c>
      <c r="C3" s="4" t="s">
        <v>6</v>
      </c>
      <c r="D3" s="2" t="s">
        <v>49</v>
      </c>
    </row>
    <row r="4" spans="1:4" x14ac:dyDescent="0.3">
      <c r="A4" s="1">
        <v>3</v>
      </c>
      <c r="B4" t="s">
        <v>52</v>
      </c>
      <c r="C4" s="4" t="s">
        <v>5</v>
      </c>
      <c r="D4" s="2">
        <v>196</v>
      </c>
    </row>
    <row r="5" spans="1:4" x14ac:dyDescent="0.3">
      <c r="A5" s="1">
        <v>4</v>
      </c>
      <c r="B5" t="s">
        <v>63</v>
      </c>
      <c r="C5" s="4" t="s">
        <v>7</v>
      </c>
      <c r="D5" s="2">
        <v>2022</v>
      </c>
    </row>
    <row r="6" spans="1:4" x14ac:dyDescent="0.3">
      <c r="C6" s="4" t="s">
        <v>48</v>
      </c>
    </row>
    <row r="7" spans="1:4" x14ac:dyDescent="0.3">
      <c r="C7" s="4" t="s">
        <v>9</v>
      </c>
      <c r="D7" s="2">
        <v>5</v>
      </c>
    </row>
    <row r="8" spans="1:4" x14ac:dyDescent="0.3">
      <c r="C8" s="4" t="s">
        <v>8</v>
      </c>
      <c r="D8" s="2">
        <v>4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Comenzar">
          <controlPr defaultSize="0" autoLine="0" autoPict="0" r:id="rId5">
            <anchor moveWithCells="1">
              <from>
                <xdr:col>2</xdr:col>
                <xdr:colOff>0</xdr:colOff>
                <xdr:row>0</xdr:row>
                <xdr:rowOff>15240</xdr:rowOff>
              </from>
              <to>
                <xdr:col>5</xdr:col>
                <xdr:colOff>0</xdr:colOff>
                <xdr:row>1</xdr:row>
                <xdr:rowOff>15240</xdr:rowOff>
              </to>
            </anchor>
          </controlPr>
        </control>
      </mc:Choice>
      <mc:Fallback>
        <control shapeId="1027" r:id="rId4" name="cmdComenz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48308-74DA-49C7-97A6-903E3FF0CAB8}">
  <sheetPr codeName="tableroReng">
    <tabColor theme="9" tint="0.59999389629810485"/>
  </sheetPr>
  <dimension ref="A1:C6"/>
  <sheetViews>
    <sheetView workbookViewId="0">
      <selection activeCell="B28" sqref="B28"/>
    </sheetView>
  </sheetViews>
  <sheetFormatPr baseColWidth="10" defaultRowHeight="14.4" x14ac:dyDescent="0.3"/>
  <cols>
    <col min="1" max="1" width="11.77734375" style="1" customWidth="1"/>
    <col min="2" max="2" width="52.33203125" customWidth="1"/>
    <col min="3" max="3" width="10.88671875" customWidth="1"/>
  </cols>
  <sheetData>
    <row r="1" spans="1:3" s="33" customFormat="1" ht="32.4" customHeight="1" x14ac:dyDescent="0.3">
      <c r="A1" s="3" t="s">
        <v>2</v>
      </c>
      <c r="B1" s="3" t="s">
        <v>3</v>
      </c>
      <c r="C1" s="3" t="s">
        <v>4</v>
      </c>
    </row>
    <row r="2" spans="1:3" x14ac:dyDescent="0.3">
      <c r="A2">
        <v>1</v>
      </c>
      <c r="B2" t="s">
        <v>66</v>
      </c>
      <c r="C2">
        <v>60</v>
      </c>
    </row>
    <row r="3" spans="1:3" x14ac:dyDescent="0.3">
      <c r="A3">
        <v>2</v>
      </c>
      <c r="B3" t="s">
        <v>67</v>
      </c>
      <c r="C3">
        <v>35</v>
      </c>
    </row>
    <row r="4" spans="1:3" x14ac:dyDescent="0.3">
      <c r="A4">
        <v>3</v>
      </c>
      <c r="B4" t="s">
        <v>68</v>
      </c>
      <c r="C4">
        <v>800</v>
      </c>
    </row>
    <row r="5" spans="1:3" x14ac:dyDescent="0.3">
      <c r="A5">
        <v>4</v>
      </c>
      <c r="B5" t="s">
        <v>69</v>
      </c>
      <c r="C5">
        <v>800</v>
      </c>
    </row>
    <row r="6" spans="1:3" x14ac:dyDescent="0.3">
      <c r="A6">
        <v>5</v>
      </c>
      <c r="B6" t="s">
        <v>70</v>
      </c>
      <c r="C6">
        <v>300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Insertpages">
          <controlPr defaultSize="0" autoLine="0" r:id="rId4">
            <anchor moveWithCells="1">
              <from>
                <xdr:col>3</xdr:col>
                <xdr:colOff>320040</xdr:colOff>
                <xdr:row>0</xdr:row>
                <xdr:rowOff>175260</xdr:rowOff>
              </from>
              <to>
                <xdr:col>5</xdr:col>
                <xdr:colOff>274320</xdr:colOff>
                <xdr:row>1</xdr:row>
                <xdr:rowOff>129540</xdr:rowOff>
              </to>
            </anchor>
          </controlPr>
        </control>
      </mc:Choice>
      <mc:Fallback>
        <control shapeId="2049" r:id="rId3" name="cmdInsertpages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2F995-7976-4E6D-9C77-5166361126F0}">
  <sheetPr codeName="Hoja35"/>
  <dimension ref="A1:H9"/>
  <sheetViews>
    <sheetView workbookViewId="0">
      <selection activeCell="H1" sqref="H1:H3"/>
    </sheetView>
  </sheetViews>
  <sheetFormatPr baseColWidth="10" defaultRowHeight="14.4" x14ac:dyDescent="0.3"/>
  <cols>
    <col min="1" max="2" width="5.77734375" style="1" customWidth="1"/>
    <col min="3" max="3" width="11.5546875" style="1"/>
    <col min="4" max="4" width="11.5546875" style="5"/>
    <col min="5" max="5" width="16.77734375" style="5" customWidth="1"/>
    <col min="6" max="6" width="16.77734375" customWidth="1"/>
    <col min="7" max="7" width="11.5546875" style="1"/>
    <col min="8" max="8" width="80.77734375" customWidth="1"/>
  </cols>
  <sheetData>
    <row r="1" spans="1:8" ht="18" customHeight="1" x14ac:dyDescent="0.3">
      <c r="A1" s="90" t="s">
        <v>50</v>
      </c>
      <c r="B1" s="90"/>
      <c r="C1" s="90"/>
      <c r="D1" s="90"/>
      <c r="E1" s="90"/>
      <c r="G1" s="91" t="s">
        <v>45</v>
      </c>
      <c r="H1" s="92" t="s">
        <v>59</v>
      </c>
    </row>
    <row r="2" spans="1:8" ht="18" customHeight="1" x14ac:dyDescent="0.3">
      <c r="A2" s="90"/>
      <c r="B2" s="90"/>
      <c r="C2" s="90"/>
      <c r="D2" s="90"/>
      <c r="E2" s="90"/>
      <c r="G2" s="91" t="s">
        <v>46</v>
      </c>
      <c r="H2" s="92" t="s">
        <v>58</v>
      </c>
    </row>
    <row r="3" spans="1:8" ht="18" customHeight="1" x14ac:dyDescent="0.3">
      <c r="A3" s="90"/>
      <c r="B3" s="90"/>
      <c r="C3" s="90"/>
      <c r="D3" s="90"/>
      <c r="E3" s="90"/>
      <c r="G3" s="91" t="s">
        <v>47</v>
      </c>
      <c r="H3" s="92" t="s">
        <v>60</v>
      </c>
    </row>
    <row r="4" spans="1:8" s="3" customFormat="1" ht="30" customHeight="1" thickBot="1" x14ac:dyDescent="0.35">
      <c r="A4" s="14" t="s">
        <v>10</v>
      </c>
      <c r="B4" s="14" t="s">
        <v>11</v>
      </c>
      <c r="C4" s="14" t="s">
        <v>12</v>
      </c>
      <c r="D4" s="15" t="s">
        <v>13</v>
      </c>
      <c r="E4" s="15" t="s">
        <v>16</v>
      </c>
      <c r="F4" s="14" t="s">
        <v>15</v>
      </c>
      <c r="G4" s="14" t="s">
        <v>14</v>
      </c>
      <c r="H4" s="14" t="s">
        <v>3</v>
      </c>
    </row>
    <row r="5" spans="1:8" x14ac:dyDescent="0.3">
      <c r="A5" s="16">
        <v>1</v>
      </c>
      <c r="B5" s="16"/>
      <c r="C5" s="17">
        <v>60</v>
      </c>
      <c r="D5" s="18">
        <v>1150</v>
      </c>
      <c r="E5" s="18">
        <f>C5 * D5</f>
        <v>69000</v>
      </c>
      <c r="F5" s="21"/>
      <c r="G5" s="16">
        <v>60</v>
      </c>
      <c r="H5" s="19" t="s">
        <v>53</v>
      </c>
    </row>
    <row r="6" spans="1:8" x14ac:dyDescent="0.3">
      <c r="A6" s="8">
        <v>2</v>
      </c>
      <c r="B6" s="8"/>
      <c r="C6" s="9">
        <v>35</v>
      </c>
      <c r="D6" s="10">
        <v>1438</v>
      </c>
      <c r="E6" s="10">
        <f>C6 * D6</f>
        <v>50330</v>
      </c>
      <c r="F6" s="22"/>
      <c r="G6" s="8">
        <v>35</v>
      </c>
      <c r="H6" s="6" t="s">
        <v>54</v>
      </c>
    </row>
    <row r="7" spans="1:8" x14ac:dyDescent="0.3">
      <c r="A7" s="8">
        <v>3</v>
      </c>
      <c r="B7" s="8"/>
      <c r="C7" s="9">
        <v>800</v>
      </c>
      <c r="D7" s="10">
        <v>199</v>
      </c>
      <c r="E7" s="10">
        <f>C7 * D7</f>
        <v>159200</v>
      </c>
      <c r="F7" s="22" t="s">
        <v>61</v>
      </c>
      <c r="G7" s="8">
        <v>800</v>
      </c>
      <c r="H7" s="6" t="s">
        <v>55</v>
      </c>
    </row>
    <row r="8" spans="1:8" x14ac:dyDescent="0.3">
      <c r="A8" s="8">
        <v>4</v>
      </c>
      <c r="B8" s="8"/>
      <c r="C8" s="9">
        <v>800</v>
      </c>
      <c r="D8" s="10">
        <v>220</v>
      </c>
      <c r="E8" s="10">
        <f>C8 * D8</f>
        <v>176000</v>
      </c>
      <c r="F8" s="22" t="s">
        <v>61</v>
      </c>
      <c r="G8" s="8">
        <v>800</v>
      </c>
      <c r="H8" s="6" t="s">
        <v>56</v>
      </c>
    </row>
    <row r="9" spans="1:8" x14ac:dyDescent="0.3">
      <c r="A9" s="11">
        <v>5</v>
      </c>
      <c r="B9" s="11"/>
      <c r="C9" s="12">
        <v>300</v>
      </c>
      <c r="D9" s="13">
        <v>450</v>
      </c>
      <c r="E9" s="13">
        <f>C9 * D9</f>
        <v>135000</v>
      </c>
      <c r="F9" s="22" t="s">
        <v>61</v>
      </c>
      <c r="G9" s="11">
        <v>300</v>
      </c>
      <c r="H9" s="7" t="s">
        <v>57</v>
      </c>
    </row>
  </sheetData>
  <mergeCells count="1">
    <mergeCell ref="A1:E3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5C87-5917-41C0-A015-24AB459A2311}">
  <sheetPr codeName="Hoja34"/>
  <dimension ref="A1:H9"/>
  <sheetViews>
    <sheetView topLeftCell="B1" workbookViewId="0">
      <selection activeCell="H13" sqref="H13"/>
    </sheetView>
  </sheetViews>
  <sheetFormatPr baseColWidth="10" defaultRowHeight="14.4" x14ac:dyDescent="0.3"/>
  <cols>
    <col min="1" max="2" width="5.77734375" style="1" customWidth="1"/>
    <col min="3" max="3" width="11.5546875" style="1"/>
    <col min="4" max="4" width="11.5546875" style="5"/>
    <col min="5" max="5" width="16.77734375" style="5" customWidth="1"/>
    <col min="6" max="6" width="16.77734375" customWidth="1"/>
    <col min="7" max="7" width="11.5546875" style="1"/>
    <col min="8" max="8" width="80.77734375" customWidth="1"/>
  </cols>
  <sheetData>
    <row r="1" spans="1:8" ht="18" customHeight="1" x14ac:dyDescent="0.3">
      <c r="A1" s="90" t="s">
        <v>51</v>
      </c>
      <c r="B1" s="90"/>
      <c r="C1" s="90"/>
      <c r="D1" s="90"/>
      <c r="E1" s="90"/>
      <c r="G1" s="91" t="s">
        <v>45</v>
      </c>
      <c r="H1" s="92" t="s">
        <v>44</v>
      </c>
    </row>
    <row r="2" spans="1:8" ht="18" customHeight="1" x14ac:dyDescent="0.3">
      <c r="A2" s="90"/>
      <c r="B2" s="90"/>
      <c r="C2" s="90"/>
      <c r="D2" s="90"/>
      <c r="E2" s="90"/>
      <c r="G2" s="91" t="s">
        <v>46</v>
      </c>
      <c r="H2" s="92" t="s">
        <v>44</v>
      </c>
    </row>
    <row r="3" spans="1:8" ht="18" customHeight="1" x14ac:dyDescent="0.3">
      <c r="A3" s="90"/>
      <c r="B3" s="90"/>
      <c r="C3" s="90"/>
      <c r="D3" s="90"/>
      <c r="E3" s="90"/>
      <c r="G3" s="91" t="s">
        <v>47</v>
      </c>
      <c r="H3" s="92" t="s">
        <v>44</v>
      </c>
    </row>
    <row r="4" spans="1:8" s="3" customFormat="1" ht="30" customHeight="1" thickBot="1" x14ac:dyDescent="0.35">
      <c r="A4" s="14" t="s">
        <v>10</v>
      </c>
      <c r="B4" s="14" t="s">
        <v>11</v>
      </c>
      <c r="C4" s="14" t="s">
        <v>12</v>
      </c>
      <c r="D4" s="15" t="s">
        <v>13</v>
      </c>
      <c r="E4" s="15" t="s">
        <v>16</v>
      </c>
      <c r="F4" s="14" t="s">
        <v>15</v>
      </c>
      <c r="G4" s="14" t="s">
        <v>14</v>
      </c>
      <c r="H4" s="14" t="s">
        <v>3</v>
      </c>
    </row>
    <row r="5" spans="1:8" x14ac:dyDescent="0.3">
      <c r="A5" s="16">
        <v>1</v>
      </c>
      <c r="B5" s="16"/>
      <c r="C5" s="17">
        <v>60</v>
      </c>
      <c r="D5" s="18">
        <v>28000</v>
      </c>
      <c r="E5" s="18">
        <f>C5 * D5</f>
        <v>1680000</v>
      </c>
      <c r="F5" s="21"/>
      <c r="G5" s="16">
        <v>60</v>
      </c>
      <c r="H5" s="19" t="s">
        <v>53</v>
      </c>
    </row>
    <row r="6" spans="1:8" x14ac:dyDescent="0.3">
      <c r="A6" s="8">
        <v>2</v>
      </c>
      <c r="B6" s="8"/>
      <c r="C6" s="9">
        <v>35</v>
      </c>
      <c r="D6" s="10">
        <v>40000</v>
      </c>
      <c r="E6" s="10">
        <f>C6 * D6</f>
        <v>1400000</v>
      </c>
      <c r="F6" s="22"/>
      <c r="G6" s="8">
        <v>35</v>
      </c>
      <c r="H6" s="6" t="s">
        <v>54</v>
      </c>
    </row>
    <row r="7" spans="1:8" x14ac:dyDescent="0.3">
      <c r="A7" s="8">
        <v>3</v>
      </c>
      <c r="B7" s="8"/>
      <c r="C7" s="9">
        <v>800</v>
      </c>
      <c r="D7" s="10">
        <v>220</v>
      </c>
      <c r="E7" s="10">
        <f>C7 * D7</f>
        <v>176000</v>
      </c>
      <c r="F7" s="22" t="s">
        <v>62</v>
      </c>
      <c r="G7" s="8">
        <v>800</v>
      </c>
      <c r="H7" s="6" t="s">
        <v>55</v>
      </c>
    </row>
    <row r="8" spans="1:8" x14ac:dyDescent="0.3">
      <c r="A8" s="8">
        <v>4</v>
      </c>
      <c r="B8" s="8"/>
      <c r="C8" s="9">
        <v>800</v>
      </c>
      <c r="D8" s="10">
        <v>220</v>
      </c>
      <c r="E8" s="10">
        <f>C8 * D8</f>
        <v>176000</v>
      </c>
      <c r="F8" s="22" t="s">
        <v>62</v>
      </c>
      <c r="G8" s="8">
        <v>800</v>
      </c>
      <c r="H8" s="6" t="s">
        <v>56</v>
      </c>
    </row>
    <row r="9" spans="1:8" x14ac:dyDescent="0.3">
      <c r="A9" s="11">
        <v>5</v>
      </c>
      <c r="B9" s="11"/>
      <c r="C9" s="12">
        <v>300</v>
      </c>
      <c r="D9" s="13">
        <v>350</v>
      </c>
      <c r="E9" s="13">
        <f>C9 * D9</f>
        <v>105000</v>
      </c>
      <c r="F9" s="22" t="s">
        <v>62</v>
      </c>
      <c r="G9" s="11">
        <v>300</v>
      </c>
      <c r="H9" s="7" t="s">
        <v>57</v>
      </c>
    </row>
  </sheetData>
  <mergeCells count="1">
    <mergeCell ref="A1:E3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28F1-2257-40F4-840A-A609EB8729B6}">
  <sheetPr codeName="Hoja33"/>
  <dimension ref="A1:H9"/>
  <sheetViews>
    <sheetView topLeftCell="B1" workbookViewId="0">
      <selection activeCell="I3" sqref="I3"/>
    </sheetView>
  </sheetViews>
  <sheetFormatPr baseColWidth="10" defaultRowHeight="14.4" x14ac:dyDescent="0.3"/>
  <cols>
    <col min="1" max="2" width="5.77734375" style="1" customWidth="1"/>
    <col min="3" max="3" width="11.5546875" style="1"/>
    <col min="4" max="4" width="11.5546875" style="5"/>
    <col min="5" max="5" width="16.77734375" style="5" customWidth="1"/>
    <col min="6" max="6" width="16.77734375" customWidth="1"/>
    <col min="7" max="7" width="11.5546875" style="1"/>
    <col min="8" max="8" width="80.77734375" customWidth="1"/>
  </cols>
  <sheetData>
    <row r="1" spans="1:8" ht="18" customHeight="1" x14ac:dyDescent="0.3">
      <c r="A1" s="90" t="s">
        <v>52</v>
      </c>
      <c r="B1" s="90"/>
      <c r="C1" s="90"/>
      <c r="D1" s="90"/>
      <c r="E1" s="90"/>
      <c r="G1" s="91" t="s">
        <v>45</v>
      </c>
      <c r="H1" s="92" t="s">
        <v>44</v>
      </c>
    </row>
    <row r="2" spans="1:8" ht="18" customHeight="1" x14ac:dyDescent="0.3">
      <c r="A2" s="90"/>
      <c r="B2" s="90"/>
      <c r="C2" s="90"/>
      <c r="D2" s="90"/>
      <c r="E2" s="90"/>
      <c r="G2" s="91" t="s">
        <v>46</v>
      </c>
      <c r="H2" s="92" t="s">
        <v>44</v>
      </c>
    </row>
    <row r="3" spans="1:8" ht="18" customHeight="1" x14ac:dyDescent="0.3">
      <c r="A3" s="90"/>
      <c r="B3" s="90"/>
      <c r="C3" s="90"/>
      <c r="D3" s="90"/>
      <c r="E3" s="90"/>
      <c r="G3" s="91" t="s">
        <v>47</v>
      </c>
      <c r="H3" s="92" t="s">
        <v>60</v>
      </c>
    </row>
    <row r="4" spans="1:8" s="3" customFormat="1" ht="30" customHeight="1" thickBot="1" x14ac:dyDescent="0.35">
      <c r="A4" s="14" t="s">
        <v>10</v>
      </c>
      <c r="B4" s="14" t="s">
        <v>11</v>
      </c>
      <c r="C4" s="14" t="s">
        <v>12</v>
      </c>
      <c r="D4" s="15" t="s">
        <v>13</v>
      </c>
      <c r="E4" s="15" t="s">
        <v>16</v>
      </c>
      <c r="F4" s="14" t="s">
        <v>15</v>
      </c>
      <c r="G4" s="14" t="s">
        <v>14</v>
      </c>
      <c r="H4" s="14" t="s">
        <v>3</v>
      </c>
    </row>
    <row r="5" spans="1:8" x14ac:dyDescent="0.3">
      <c r="A5" s="16">
        <v>1</v>
      </c>
      <c r="B5" s="16"/>
      <c r="C5" s="17">
        <v>60</v>
      </c>
      <c r="D5" s="18">
        <v>1080</v>
      </c>
      <c r="E5" s="18">
        <f>C5 * D5</f>
        <v>64800</v>
      </c>
      <c r="F5" s="21"/>
      <c r="G5" s="16">
        <v>60</v>
      </c>
      <c r="H5" s="19" t="s">
        <v>53</v>
      </c>
    </row>
    <row r="6" spans="1:8" x14ac:dyDescent="0.3">
      <c r="A6" s="8">
        <v>2</v>
      </c>
      <c r="B6" s="8"/>
      <c r="C6" s="9"/>
      <c r="D6" s="10"/>
      <c r="E6" s="10">
        <f>C6 * D6</f>
        <v>0</v>
      </c>
      <c r="F6" s="22"/>
      <c r="G6" s="8">
        <v>35</v>
      </c>
      <c r="H6" s="6" t="s">
        <v>54</v>
      </c>
    </row>
    <row r="7" spans="1:8" x14ac:dyDescent="0.3">
      <c r="A7" s="8">
        <v>3</v>
      </c>
      <c r="B7" s="8"/>
      <c r="C7" s="9"/>
      <c r="D7" s="10"/>
      <c r="E7" s="10">
        <f>C7 * D7</f>
        <v>0</v>
      </c>
      <c r="F7" s="22"/>
      <c r="G7" s="8">
        <v>800</v>
      </c>
      <c r="H7" s="6" t="s">
        <v>55</v>
      </c>
    </row>
    <row r="8" spans="1:8" x14ac:dyDescent="0.3">
      <c r="A8" s="8">
        <v>4</v>
      </c>
      <c r="B8" s="8"/>
      <c r="C8" s="9"/>
      <c r="D8" s="10"/>
      <c r="E8" s="10">
        <f>C8 * D8</f>
        <v>0</v>
      </c>
      <c r="F8" s="22"/>
      <c r="G8" s="8">
        <v>800</v>
      </c>
      <c r="H8" s="6" t="s">
        <v>56</v>
      </c>
    </row>
    <row r="9" spans="1:8" x14ac:dyDescent="0.3">
      <c r="A9" s="11">
        <v>5</v>
      </c>
      <c r="B9" s="11"/>
      <c r="C9" s="12"/>
      <c r="D9" s="13"/>
      <c r="E9" s="13">
        <f>C9 * D9</f>
        <v>0</v>
      </c>
      <c r="F9" s="23"/>
      <c r="G9" s="11">
        <v>300</v>
      </c>
      <c r="H9" s="7" t="s">
        <v>57</v>
      </c>
    </row>
  </sheetData>
  <mergeCells count="1">
    <mergeCell ref="A1:E3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B155B-408B-473E-BBC7-023678CCB506}">
  <sheetPr codeName="Hoja32"/>
  <dimension ref="A1:H9"/>
  <sheetViews>
    <sheetView workbookViewId="0">
      <selection activeCell="H12" sqref="H12"/>
    </sheetView>
  </sheetViews>
  <sheetFormatPr baseColWidth="10" defaultRowHeight="14.4" x14ac:dyDescent="0.3"/>
  <cols>
    <col min="1" max="2" width="5.77734375" style="1" customWidth="1"/>
    <col min="3" max="3" width="11.5546875" style="1"/>
    <col min="4" max="4" width="11.5546875" style="5"/>
    <col min="5" max="5" width="16.77734375" style="5" customWidth="1"/>
    <col min="6" max="6" width="16.77734375" customWidth="1"/>
    <col min="7" max="7" width="11.5546875" style="1"/>
    <col min="8" max="8" width="80.77734375" customWidth="1"/>
  </cols>
  <sheetData>
    <row r="1" spans="1:8" ht="18" customHeight="1" x14ac:dyDescent="0.3">
      <c r="A1" s="90" t="s">
        <v>63</v>
      </c>
      <c r="B1" s="90"/>
      <c r="C1" s="90"/>
      <c r="D1" s="90"/>
      <c r="E1" s="90"/>
      <c r="G1" s="91" t="s">
        <v>45</v>
      </c>
      <c r="H1" s="92" t="s">
        <v>44</v>
      </c>
    </row>
    <row r="2" spans="1:8" ht="18" customHeight="1" x14ac:dyDescent="0.3">
      <c r="A2" s="90"/>
      <c r="B2" s="90"/>
      <c r="C2" s="90"/>
      <c r="D2" s="90"/>
      <c r="E2" s="90"/>
      <c r="G2" s="91" t="s">
        <v>46</v>
      </c>
      <c r="H2" s="92" t="s">
        <v>44</v>
      </c>
    </row>
    <row r="3" spans="1:8" ht="18" customHeight="1" x14ac:dyDescent="0.3">
      <c r="A3" s="90"/>
      <c r="B3" s="90"/>
      <c r="C3" s="90"/>
      <c r="D3" s="90"/>
      <c r="E3" s="90"/>
      <c r="G3" s="91" t="s">
        <v>47</v>
      </c>
      <c r="H3" s="92" t="s">
        <v>64</v>
      </c>
    </row>
    <row r="4" spans="1:8" s="3" customFormat="1" ht="30" customHeight="1" thickBot="1" x14ac:dyDescent="0.35">
      <c r="A4" s="14" t="s">
        <v>10</v>
      </c>
      <c r="B4" s="14" t="s">
        <v>11</v>
      </c>
      <c r="C4" s="14" t="s">
        <v>12</v>
      </c>
      <c r="D4" s="15" t="s">
        <v>13</v>
      </c>
      <c r="E4" s="15" t="s">
        <v>16</v>
      </c>
      <c r="F4" s="14" t="s">
        <v>15</v>
      </c>
      <c r="G4" s="14" t="s">
        <v>14</v>
      </c>
      <c r="H4" s="14" t="s">
        <v>3</v>
      </c>
    </row>
    <row r="5" spans="1:8" x14ac:dyDescent="0.3">
      <c r="A5" s="16">
        <v>1</v>
      </c>
      <c r="B5" s="16"/>
      <c r="C5" s="17">
        <v>60</v>
      </c>
      <c r="D5" s="18">
        <v>538.20000000000005</v>
      </c>
      <c r="E5" s="18">
        <f>C5 * D5</f>
        <v>32292.000000000004</v>
      </c>
      <c r="F5" s="21"/>
      <c r="G5" s="16">
        <v>60</v>
      </c>
      <c r="H5" s="19" t="s">
        <v>53</v>
      </c>
    </row>
    <row r="6" spans="1:8" x14ac:dyDescent="0.3">
      <c r="A6" s="8">
        <v>2</v>
      </c>
      <c r="B6" s="8"/>
      <c r="C6" s="9">
        <v>35</v>
      </c>
      <c r="D6" s="10">
        <v>11661</v>
      </c>
      <c r="E6" s="10">
        <f>C6 * D6</f>
        <v>408135</v>
      </c>
      <c r="F6" s="22"/>
      <c r="G6" s="8">
        <v>35</v>
      </c>
      <c r="H6" s="6" t="s">
        <v>54</v>
      </c>
    </row>
    <row r="7" spans="1:8" x14ac:dyDescent="0.3">
      <c r="A7" s="8">
        <v>3</v>
      </c>
      <c r="B7" s="8"/>
      <c r="C7" s="9">
        <v>800</v>
      </c>
      <c r="D7" s="10">
        <v>170.43</v>
      </c>
      <c r="E7" s="10">
        <f>C7 * D7</f>
        <v>136344</v>
      </c>
      <c r="F7" s="22" t="s">
        <v>61</v>
      </c>
      <c r="G7" s="8">
        <v>800</v>
      </c>
      <c r="H7" s="6" t="s">
        <v>55</v>
      </c>
    </row>
    <row r="8" spans="1:8" x14ac:dyDescent="0.3">
      <c r="A8" s="8">
        <v>4</v>
      </c>
      <c r="B8" s="8"/>
      <c r="C8" s="9">
        <v>800</v>
      </c>
      <c r="D8" s="10">
        <v>224.25</v>
      </c>
      <c r="E8" s="10">
        <f>C8 * D8</f>
        <v>179400</v>
      </c>
      <c r="F8" s="22" t="s">
        <v>61</v>
      </c>
      <c r="G8" s="8">
        <v>800</v>
      </c>
      <c r="H8" s="6" t="s">
        <v>56</v>
      </c>
    </row>
    <row r="9" spans="1:8" x14ac:dyDescent="0.3">
      <c r="A9" s="11">
        <v>5</v>
      </c>
      <c r="B9" s="11"/>
      <c r="C9" s="12">
        <v>300</v>
      </c>
      <c r="D9" s="13">
        <v>986.7</v>
      </c>
      <c r="E9" s="13">
        <f>C9 * D9</f>
        <v>296010</v>
      </c>
      <c r="F9" s="23" t="s">
        <v>62</v>
      </c>
      <c r="G9" s="11">
        <v>300</v>
      </c>
      <c r="H9" s="7" t="s">
        <v>57</v>
      </c>
    </row>
  </sheetData>
  <mergeCells count="1">
    <mergeCell ref="A1:E3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E5938-EFE9-44C0-8644-04D4641C7FBA}">
  <sheetPr codeName="Hoja3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3C654-5875-44CE-B7F5-F50148861C8B}">
  <sheetPr codeName="modCuadro"/>
  <dimension ref="A1:I50"/>
  <sheetViews>
    <sheetView topLeftCell="A13" workbookViewId="0">
      <selection activeCell="D43" sqref="D43"/>
    </sheetView>
  </sheetViews>
  <sheetFormatPr baseColWidth="10" defaultRowHeight="14.4" x14ac:dyDescent="0.3"/>
  <cols>
    <col min="1" max="3" width="3" customWidth="1"/>
    <col min="4" max="4" width="38.77734375" customWidth="1"/>
    <col min="5" max="7" width="20.77734375" customWidth="1"/>
    <col min="8" max="8" width="30.77734375" customWidth="1"/>
    <col min="9" max="9" width="2.6640625" customWidth="1"/>
  </cols>
  <sheetData>
    <row r="1" spans="2:9" x14ac:dyDescent="0.3">
      <c r="I1" s="85"/>
    </row>
    <row r="2" spans="2:9" x14ac:dyDescent="0.3">
      <c r="I2" s="85"/>
    </row>
    <row r="3" spans="2:9" x14ac:dyDescent="0.3">
      <c r="I3" s="85"/>
    </row>
    <row r="4" spans="2:9" ht="15.6" x14ac:dyDescent="0.3">
      <c r="D4" s="28" t="s">
        <v>30</v>
      </c>
      <c r="I4" s="85"/>
    </row>
    <row r="5" spans="2:9" s="32" customFormat="1" ht="18" customHeight="1" x14ac:dyDescent="0.3">
      <c r="D5" s="38" t="s">
        <v>17</v>
      </c>
      <c r="E5" s="39" t="s">
        <v>18</v>
      </c>
      <c r="F5" s="40"/>
      <c r="G5" s="41"/>
      <c r="H5" s="25" t="s">
        <v>37</v>
      </c>
      <c r="I5" s="86"/>
    </row>
    <row r="6" spans="2:9" ht="34.950000000000003" customHeight="1" x14ac:dyDescent="0.3">
      <c r="B6" s="26" t="s">
        <v>19</v>
      </c>
      <c r="C6" s="27"/>
      <c r="D6" s="69">
        <v>0</v>
      </c>
      <c r="E6" s="42"/>
      <c r="F6" s="30"/>
      <c r="G6" s="31"/>
      <c r="H6" s="29">
        <v>12394128</v>
      </c>
      <c r="I6" s="85"/>
    </row>
    <row r="7" spans="2:9" s="32" customFormat="1" ht="19.95" customHeight="1" x14ac:dyDescent="0.3">
      <c r="B7" s="46" t="s">
        <v>20</v>
      </c>
      <c r="C7" s="47" t="s">
        <v>39</v>
      </c>
      <c r="D7" s="48" t="s">
        <v>21</v>
      </c>
      <c r="E7" s="48" t="s">
        <v>22</v>
      </c>
      <c r="F7" s="48" t="s">
        <v>23</v>
      </c>
      <c r="G7" s="48" t="s">
        <v>24</v>
      </c>
      <c r="H7" s="49" t="s">
        <v>25</v>
      </c>
      <c r="I7" s="86"/>
    </row>
    <row r="8" spans="2:9" s="32" customFormat="1" ht="13.8" customHeight="1" x14ac:dyDescent="0.3">
      <c r="B8" s="81">
        <v>1</v>
      </c>
      <c r="C8" s="82">
        <v>2</v>
      </c>
      <c r="D8" s="83" t="s">
        <v>41</v>
      </c>
      <c r="E8" s="54">
        <v>1</v>
      </c>
      <c r="F8" s="55">
        <v>123</v>
      </c>
      <c r="G8" s="55">
        <f>+F8*E8</f>
        <v>123</v>
      </c>
      <c r="H8" s="56"/>
      <c r="I8" s="86"/>
    </row>
    <row r="9" spans="2:9" x14ac:dyDescent="0.3">
      <c r="E9" s="24"/>
      <c r="I9" s="85"/>
    </row>
    <row r="10" spans="2:9" ht="12" customHeight="1" x14ac:dyDescent="0.3">
      <c r="I10" s="85"/>
    </row>
    <row r="11" spans="2:9" s="35" customFormat="1" ht="12" customHeight="1" x14ac:dyDescent="0.25">
      <c r="B11" s="35" t="s">
        <v>26</v>
      </c>
      <c r="D11" s="36"/>
      <c r="I11" s="87"/>
    </row>
    <row r="12" spans="2:9" s="35" customFormat="1" ht="12" customHeight="1" x14ac:dyDescent="0.25">
      <c r="I12" s="87"/>
    </row>
    <row r="13" spans="2:9" s="35" customFormat="1" ht="12" customHeight="1" x14ac:dyDescent="0.25">
      <c r="I13" s="87"/>
    </row>
    <row r="14" spans="2:9" s="35" customFormat="1" ht="12" customHeight="1" x14ac:dyDescent="0.25">
      <c r="B14" s="35" t="s">
        <v>27</v>
      </c>
      <c r="E14" s="36"/>
      <c r="F14" s="36"/>
      <c r="G14" s="36"/>
      <c r="H14" s="36"/>
      <c r="I14" s="87"/>
    </row>
    <row r="15" spans="2:9" s="35" customFormat="1" ht="12" customHeight="1" x14ac:dyDescent="0.25">
      <c r="I15" s="87"/>
    </row>
    <row r="16" spans="2:9" s="35" customFormat="1" ht="12" customHeight="1" x14ac:dyDescent="0.25">
      <c r="I16" s="87"/>
    </row>
    <row r="17" spans="1:9" s="35" customFormat="1" ht="12" customHeight="1" x14ac:dyDescent="0.25">
      <c r="B17" s="35" t="s">
        <v>28</v>
      </c>
      <c r="I17" s="87"/>
    </row>
    <row r="18" spans="1:9" s="35" customFormat="1" ht="12" customHeight="1" x14ac:dyDescent="0.25">
      <c r="D18" s="36"/>
      <c r="E18" s="36"/>
      <c r="F18" s="36"/>
      <c r="G18" s="36"/>
      <c r="H18" s="36"/>
      <c r="I18" s="87"/>
    </row>
    <row r="19" spans="1:9" s="35" customFormat="1" ht="12" customHeight="1" x14ac:dyDescent="0.25">
      <c r="D19" s="34" t="s">
        <v>29</v>
      </c>
      <c r="E19" s="34"/>
      <c r="F19" s="34"/>
      <c r="G19" s="34"/>
      <c r="H19" s="34"/>
      <c r="I19" s="87"/>
    </row>
    <row r="20" spans="1:9" s="37" customFormat="1" x14ac:dyDescent="0.3">
      <c r="I20" s="88"/>
    </row>
    <row r="21" spans="1:9" s="84" customFormat="1" x14ac:dyDescent="0.3">
      <c r="A21" s="85"/>
      <c r="B21" s="85"/>
      <c r="C21" s="85"/>
      <c r="D21" s="85"/>
      <c r="E21" s="85"/>
      <c r="F21" s="85"/>
      <c r="G21" s="85"/>
      <c r="H21" s="85"/>
      <c r="I21" s="85"/>
    </row>
    <row r="22" spans="1:9" x14ac:dyDescent="0.3">
      <c r="I22" s="85"/>
    </row>
    <row r="23" spans="1:9" x14ac:dyDescent="0.3">
      <c r="I23" s="85"/>
    </row>
    <row r="24" spans="1:9" x14ac:dyDescent="0.3">
      <c r="I24" s="85"/>
    </row>
    <row r="25" spans="1:9" ht="15.6" x14ac:dyDescent="0.3">
      <c r="D25" s="76" t="s">
        <v>30</v>
      </c>
      <c r="I25" s="85"/>
    </row>
    <row r="26" spans="1:9" ht="21" x14ac:dyDescent="0.3">
      <c r="C26" s="77" t="s">
        <v>36</v>
      </c>
      <c r="E26" s="20"/>
      <c r="F26" s="20"/>
      <c r="G26" s="20"/>
      <c r="H26" s="20"/>
      <c r="I26" s="85"/>
    </row>
    <row r="27" spans="1:9" ht="21" customHeight="1" x14ac:dyDescent="0.3">
      <c r="B27" s="65" t="s">
        <v>19</v>
      </c>
      <c r="C27" s="66"/>
      <c r="D27" s="67" t="s">
        <v>18</v>
      </c>
      <c r="E27" s="67"/>
      <c r="F27" s="67"/>
      <c r="G27" s="67"/>
      <c r="H27" s="68" t="s">
        <v>37</v>
      </c>
      <c r="I27" s="85"/>
    </row>
    <row r="28" spans="1:9" ht="20.399999999999999" customHeight="1" x14ac:dyDescent="0.3">
      <c r="B28" s="71">
        <v>1</v>
      </c>
      <c r="C28" s="72"/>
      <c r="D28" s="73" t="s">
        <v>38</v>
      </c>
      <c r="E28" s="74"/>
      <c r="F28" s="74"/>
      <c r="G28" s="75"/>
      <c r="H28" s="70">
        <v>1231</v>
      </c>
      <c r="I28" s="85"/>
    </row>
    <row r="29" spans="1:9" x14ac:dyDescent="0.3">
      <c r="I29" s="85"/>
    </row>
    <row r="30" spans="1:9" x14ac:dyDescent="0.3">
      <c r="I30" s="85"/>
    </row>
    <row r="31" spans="1:9" x14ac:dyDescent="0.3">
      <c r="I31" s="85"/>
    </row>
    <row r="32" spans="1:9" x14ac:dyDescent="0.3">
      <c r="I32" s="85"/>
    </row>
    <row r="33" spans="1:9" x14ac:dyDescent="0.3">
      <c r="B33" s="35" t="s">
        <v>26</v>
      </c>
      <c r="C33" s="35"/>
      <c r="D33" s="36"/>
      <c r="E33" s="35"/>
      <c r="F33" s="35"/>
      <c r="G33" s="35"/>
      <c r="H33" s="35"/>
      <c r="I33" s="85"/>
    </row>
    <row r="34" spans="1:9" x14ac:dyDescent="0.3">
      <c r="B34" s="35"/>
      <c r="C34" s="35"/>
      <c r="D34" s="35"/>
      <c r="E34" s="35"/>
      <c r="F34" s="35"/>
      <c r="G34" s="35"/>
      <c r="H34" s="35"/>
      <c r="I34" s="85"/>
    </row>
    <row r="35" spans="1:9" x14ac:dyDescent="0.3">
      <c r="B35" s="35"/>
      <c r="C35" s="35"/>
      <c r="D35" s="35"/>
      <c r="E35" s="35"/>
      <c r="F35" s="35"/>
      <c r="G35" s="35"/>
      <c r="H35" s="35"/>
      <c r="I35" s="85"/>
    </row>
    <row r="36" spans="1:9" x14ac:dyDescent="0.3">
      <c r="B36" s="35"/>
      <c r="C36" s="35"/>
      <c r="D36" s="35"/>
      <c r="E36" s="35"/>
      <c r="F36" s="35"/>
      <c r="G36" s="35"/>
      <c r="H36" s="35"/>
      <c r="I36" s="85"/>
    </row>
    <row r="37" spans="1:9" x14ac:dyDescent="0.3">
      <c r="B37" s="35"/>
      <c r="C37" s="35"/>
      <c r="D37" s="35"/>
      <c r="E37" s="35"/>
      <c r="F37" s="35"/>
      <c r="G37" s="35"/>
      <c r="H37" s="35"/>
      <c r="I37" s="85"/>
    </row>
    <row r="38" spans="1:9" x14ac:dyDescent="0.3">
      <c r="B38" s="35" t="s">
        <v>28</v>
      </c>
      <c r="C38" s="35"/>
      <c r="D38" s="35"/>
      <c r="E38" s="35"/>
      <c r="F38" s="35"/>
      <c r="G38" s="35"/>
      <c r="H38" s="35"/>
      <c r="I38" s="85"/>
    </row>
    <row r="39" spans="1:9" x14ac:dyDescent="0.3">
      <c r="B39" s="35"/>
      <c r="C39" s="35"/>
      <c r="D39" s="36"/>
      <c r="E39" s="36"/>
      <c r="F39" s="36"/>
      <c r="G39" s="36"/>
      <c r="H39" s="36"/>
      <c r="I39" s="85"/>
    </row>
    <row r="40" spans="1:9" x14ac:dyDescent="0.3">
      <c r="B40" s="35"/>
      <c r="C40" s="35"/>
      <c r="D40" s="34" t="s">
        <v>29</v>
      </c>
      <c r="E40" s="34"/>
      <c r="F40" s="34"/>
      <c r="G40" s="34"/>
      <c r="H40" s="34"/>
      <c r="I40" s="85"/>
    </row>
    <row r="41" spans="1:9" x14ac:dyDescent="0.3">
      <c r="I41" s="85"/>
    </row>
    <row r="42" spans="1:9" x14ac:dyDescent="0.3">
      <c r="A42" s="85"/>
      <c r="B42" s="85"/>
      <c r="C42" s="85"/>
      <c r="D42" s="85"/>
      <c r="E42" s="85"/>
      <c r="F42" s="85"/>
      <c r="G42" s="85"/>
      <c r="H42" s="85"/>
      <c r="I42" s="85"/>
    </row>
    <row r="43" spans="1:9" x14ac:dyDescent="0.3">
      <c r="I43" s="85"/>
    </row>
    <row r="44" spans="1:9" x14ac:dyDescent="0.3">
      <c r="I44" s="85"/>
    </row>
    <row r="45" spans="1:9" ht="15.6" x14ac:dyDescent="0.3">
      <c r="D45" s="76" t="s">
        <v>30</v>
      </c>
      <c r="I45" s="85"/>
    </row>
    <row r="46" spans="1:9" ht="21" x14ac:dyDescent="0.3">
      <c r="C46" s="77" t="s">
        <v>42</v>
      </c>
      <c r="I46" s="85"/>
    </row>
    <row r="47" spans="1:9" ht="28.2" customHeight="1" x14ac:dyDescent="0.3">
      <c r="B47" s="65" t="s">
        <v>39</v>
      </c>
      <c r="C47" s="66"/>
      <c r="D47" s="63" t="s">
        <v>32</v>
      </c>
      <c r="E47" s="63" t="s">
        <v>33</v>
      </c>
      <c r="F47" s="63" t="s">
        <v>34</v>
      </c>
      <c r="G47" s="64" t="s">
        <v>35</v>
      </c>
      <c r="I47" s="85"/>
    </row>
    <row r="48" spans="1:9" s="32" customFormat="1" ht="26.4" customHeight="1" x14ac:dyDescent="0.3">
      <c r="B48" s="79">
        <v>1</v>
      </c>
      <c r="C48" s="78"/>
      <c r="D48" s="80" t="s">
        <v>40</v>
      </c>
      <c r="E48" s="141" t="s">
        <v>43</v>
      </c>
      <c r="F48" s="141" t="s">
        <v>43</v>
      </c>
      <c r="G48" s="142" t="s">
        <v>44</v>
      </c>
      <c r="I48" s="86"/>
    </row>
    <row r="49" spans="1:9" x14ac:dyDescent="0.3">
      <c r="A49" s="89"/>
      <c r="B49" s="89"/>
      <c r="C49" s="89"/>
      <c r="D49" s="89"/>
      <c r="E49" s="89"/>
      <c r="F49" s="89"/>
      <c r="G49" s="89"/>
      <c r="H49" s="89"/>
      <c r="I49" s="85"/>
    </row>
    <row r="50" spans="1:9" x14ac:dyDescent="0.3">
      <c r="A50" s="85"/>
      <c r="B50" s="85"/>
      <c r="C50" s="85"/>
      <c r="D50" s="85"/>
      <c r="E50" s="85"/>
      <c r="F50" s="85"/>
      <c r="G50" s="85"/>
      <c r="H50" s="85"/>
      <c r="I50" s="85"/>
    </row>
  </sheetData>
  <dataConsolidate/>
  <pageMargins left="0.70866141732283472" right="0.17" top="0.953125" bottom="0.74803149606299213" header="0.31496062992125984" footer="0.31496062992125984"/>
  <pageSetup paperSize="9" scale="71" orientation="portrait" r:id="rId1"/>
  <headerFooter>
    <oddHeader>&amp;L&amp;G&amp;C&amp;"-,Negrita"
LICITACION PUBLICA Nº /2022
Tanto tanto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Cuadro L.P. 196-22231</vt:lpstr>
      <vt:lpstr>Cuadro L.P. 196-22</vt:lpstr>
      <vt:lpstr>Proveedores</vt:lpstr>
      <vt:lpstr>Renglones Pliego</vt:lpstr>
      <vt:lpstr>RAUL AGUSTIN CORRALES</vt:lpstr>
      <vt:lpstr>PASTRANA MARCELO VICENTE</vt:lpstr>
      <vt:lpstr>RETAMOZO ADRIAN EDUARDO</vt:lpstr>
      <vt:lpstr>RODRIGUEZ BOSCHERO CARLOS </vt:lpstr>
      <vt:lpstr>Hoja31</vt:lpstr>
      <vt:lpstr>Modelo Cuadro</vt:lpstr>
      <vt:lpstr>anoProc</vt:lpstr>
      <vt:lpstr>cantProv</vt:lpstr>
      <vt:lpstr>cantReng</vt:lpstr>
      <vt:lpstr>modeloCond</vt:lpstr>
      <vt:lpstr>modeloCuadro</vt:lpstr>
      <vt:lpstr>modeloDesiertos</vt:lpstr>
      <vt:lpstr>numProc</vt:lpstr>
      <vt:lpstr>tipoProc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Raúl Leopoldo Bini</dc:creator>
  <cp:lastModifiedBy>Raúl Leopoldo Bini</cp:lastModifiedBy>
  <dcterms:created xsi:type="dcterms:W3CDTF">2015-06-05T18:17:20Z</dcterms:created>
  <dcterms:modified xsi:type="dcterms:W3CDTF">2022-06-13T17:20:36Z</dcterms:modified>
</cp:coreProperties>
</file>